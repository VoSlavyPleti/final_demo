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b92dd5a08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нтракт ↔ Матрица" sheetId="2" r:id="R70a2798cb81c4d8e"/>
    <x:sheet xmlns:r="http://schemas.openxmlformats.org/officeDocument/2006/relationships" name="Только в матрице" sheetId="3" r:id="Rb00a7ebd5fde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0"/>
  </x:numFmts>
  <x:fonts count="16">
    <x:font>
      <x:sz val="11"/>
      <x:color theme="1"/>
      <x:name val="Calibri"/>
    </x:font>
    <x:font>
      <x:b/>
      <x:sz val="14"/>
      <x:color rgb="FF1F3864"/>
      <x:name val="Calibri"/>
    </x:font>
    <x:font>
      <x:b/>
      <x:sz val="11"/>
      <x:color rgb="FFFFFFFF"/>
      <x:name val="Calibri"/>
    </x:font>
    <x:font>
      <x:b/>
      <x:sz val="10"/>
      <x:color rgb="FF375623"/>
      <x:name val="Calibri"/>
    </x:font>
    <x:font>
      <x:b/>
      <x:sz val="10"/>
      <x:color rgb="FF9C5700"/>
      <x:name val="Calibri"/>
    </x:font>
    <x:font>
      <x:b/>
      <x:sz val="10"/>
      <x:color rgb="FF9C0006"/>
      <x:name val="Calibri"/>
    </x:font>
    <x:font>
      <x:sz val="10"/>
      <x:color rgb="FF9C0006"/>
      <x:name val="Calibri"/>
    </x:font>
    <x:font>
      <x:b/>
      <x:sz val="10"/>
      <x:color rgb="FF1F3864"/>
      <x:name val="Calibri"/>
    </x:font>
    <x:font>
      <x:sz val="10"/>
      <x:color rgb="FF1F3864"/>
      <x:name val="Calibri"/>
    </x:font>
    <x:font>
      <x:b/>
      <x:sz val="10"/>
      <x:name val="Calibri"/>
    </x:font>
    <x:font>
      <x:sz val="10"/>
      <x:name val="Calibri"/>
    </x:font>
    <x:font>
      <x:i/>
      <x:sz val="10"/>
      <x:name val="Calibri"/>
    </x:font>
    <x:font>
      <x:b/>
      <x:sz val="10"/>
      <x:color rgb="FF595959"/>
      <x:name val="Calibri"/>
    </x:font>
    <x:font>
      <x:b/>
      <x:sz val="11"/>
      <x:color rgb="FF595959"/>
      <x:name val="Calibri"/>
    </x:font>
    <x:font>
      <x:b/>
      <x:sz val="11"/>
      <x:color theme="1"/>
      <x:name val="Calibri"/>
    </x:font>
    <x:font>
      <x:b/>
      <x:sz val="11"/>
      <x:color rgb="FF375623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  <x:fill>
      <x:patternFill patternType="solid">
        <x:fgColor rgb="FFBDD7EE"/>
      </x:patternFill>
    </x:fill>
    <x:fill>
      <x:patternFill patternType="solid">
        <x:fgColor rgb="FF2E75B6"/>
      </x:patternFill>
    </x:fill>
    <x:fill>
      <x:patternFill patternType="solid">
        <x:fgColor rgb="FFD6E4F7"/>
      </x:patternFill>
    </x:fill>
    <x:fill>
      <x:patternFill patternType="solid">
        <x:fgColor rgb="FFE7E6E6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C7CE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8" fillId="6" borderId="1" xfId="0" applyFont="1" applyFill="1" applyBorder="1" applyAlignment="1">
      <x:alignment horizontal="center" vertical="center"/>
    </x:xf>
    <x:xf numFmtId="0" fontId="9" fillId="5" borderId="1" xfId="0" applyFont="1" applyFill="1" applyBorder="1" applyAlignment="1">
      <x:alignment horizontal="center" vertical="center" wrapText="1"/>
    </x:xf>
    <x:xf numFmtId="0" fontId="10" fillId="5" borderId="1" xfId="0" applyFont="1" applyFill="1" applyBorder="1" applyAlignment="1">
      <x:alignment horizontal="left" vertical="top" wrapText="1"/>
    </x:xf>
    <x:xf numFmtId="0" fontId="5" fillId="5" borderId="1" xfId="0" applyFont="1" applyFill="1" applyBorder="1" applyAlignment="1">
      <x:alignment horizontal="center" vertical="center" wrapText="1"/>
    </x:xf>
    <x:xf numFmtId="0" fontId="10" fillId="5" borderId="1" xfId="0" applyFont="1" applyFill="1" applyBorder="1" applyAlignment="1">
      <x:alignment horizontal="center" vertical="center"/>
    </x:xf>
    <x:xf numFmtId="0" fontId="9" fillId="3" borderId="1" xfId="0" applyFont="1" applyFill="1" applyBorder="1" applyAlignment="1">
      <x:alignment horizontal="center" vertical="center" wrapText="1"/>
    </x:xf>
    <x:xf numFmtId="0" fontId="10" fillId="3" borderId="1" xfId="0" applyFont="1" applyFill="1" applyBorder="1" applyAlignment="1">
      <x:alignment horizontal="left" vertical="top" wrapText="1"/>
    </x:xf>
    <x:xf numFmtId="0" fontId="3" fillId="3" borderId="1" xfId="0" applyFont="1" applyFill="1" applyBorder="1" applyAlignment="1">
      <x:alignment horizontal="center" vertical="center" wrapText="1"/>
    </x:xf>
    <x:xf numFmtId="0" fontId="10" fillId="3" borderId="1" xfId="0" applyFont="1" applyFill="1" applyBorder="1" applyAlignment="1">
      <x:alignment horizontal="center" vertical="center"/>
    </x:xf>
    <x:xf numFmtId="0" fontId="9" fillId="4" borderId="1" xfId="0" applyFont="1" applyFill="1" applyBorder="1" applyAlignment="1">
      <x:alignment horizontal="center" vertical="center" wrapText="1"/>
    </x:xf>
    <x:xf numFmtId="0" fontId="10" fillId="4" borderId="1" xfId="0" applyFont="1" applyFill="1" applyBorder="1" applyAlignment="1">
      <x:alignment horizontal="left" vertical="top" wrapText="1"/>
    </x:xf>
    <x:xf numFmtId="0" fontId="4" fillId="4" borderId="1" xfId="0" applyFont="1" applyFill="1" applyBorder="1" applyAlignment="1">
      <x:alignment horizontal="center" vertical="center" wrapText="1"/>
    </x:xf>
    <x:xf numFmtId="0" fontId="10" fillId="4" borderId="1" xfId="0" applyFont="1" applyFill="1" applyBorder="1" applyAlignment="1">
      <x:alignment horizontal="center" vertical="center"/>
    </x:xf>
    <x:xf numFmtId="0" fontId="10" fillId="6" borderId="1" xfId="0" applyFont="1" applyFill="1" applyBorder="1" applyAlignment="1">
      <x:alignment horizontal="left" vertical="top" wrapText="1"/>
    </x:xf>
    <x:xf numFmtId="0" fontId="6" fillId="6" borderId="1" xfId="0" applyFont="1" applyFill="1" applyBorder="1" applyAlignment="1">
      <x:alignment horizontal="center" vertical="center" wrapText="1"/>
    </x:xf>
    <x:xf numFmtId="0" fontId="7" fillId="8" borderId="1" xfId="0" applyFont="1" applyFill="1" applyBorder="1" applyAlignment="1">
      <x:alignment horizontal="center" vertical="center"/>
    </x:xf>
    <x:xf numFmtId="0" fontId="9" fillId="8" borderId="1" xfId="0" applyFont="1" applyFill="1" applyBorder="1" applyAlignment="1">
      <x:alignment horizontal="left" vertical="top" wrapText="1"/>
    </x:xf>
    <x:xf numFmtId="0" fontId="5" fillId="8" borderId="1" xfId="0" applyFont="1" applyFill="1" applyBorder="1" applyAlignment="1">
      <x:alignment horizontal="center" vertical="center" wrapText="1"/>
    </x:xf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 wrapText="1"/>
    </x:xf>
    <x:xf numFmtId="0" fontId="11" fillId="0" borderId="0" xfId="0" applyFont="1" applyAlignment="1">
      <x:alignment horizontal="left" vertical="top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left" vertical="top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center" vertical="center"/>
    </x:xf>
    <x:xf numFmtId="0" fontId="12" fillId="9" borderId="1" xfId="0" applyNumberFormat="1" applyFont="1" applyFill="1" applyBorder="1" applyAlignment="1">
      <x:alignment horizontal="center" vertical="center" wrapText="1"/>
    </x:xf>
    <x:xf numFmtId="0" fontId="12" fillId="9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7" borderId="1" xfId="0" applyNumberFormat="1" applyFont="1" applyFill="1" applyBorder="1" applyAlignment="1">
      <x:alignment horizontal="center" vertical="center" wrapText="1"/>
    </x:xf>
    <x:xf numFmtId="200" fontId="9" fillId="9" borderId="1" xfId="0" applyNumberFormat="1" applyFont="1" applyFill="1" applyBorder="1" applyAlignment="1">
      <x:alignment horizontal="center" vertical="center" wrapText="1"/>
    </x:xf>
    <x:xf numFmtId="200" fontId="9" fillId="3" borderId="1" xfId="0" applyNumberFormat="1" applyFont="1" applyFill="1" applyBorder="1" applyAlignment="1">
      <x:alignment horizontal="center" vertical="center" wrapText="1"/>
    </x:xf>
    <x:xf numFmtId="200" fontId="9" fillId="5" borderId="1" xfId="0" applyNumberFormat="1" applyFont="1" applyFill="1" applyBorder="1" applyAlignment="1">
      <x:alignment horizontal="center" vertical="center" wrapText="1"/>
    </x:xf>
    <x:xf numFmtId="200" fontId="9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9" borderId="0" xfId="0" applyNumberFormat="1" applyFont="1" applyFill="1" applyBorder="1"/>
    <x:xf numFmtId="200" fontId="12" fillId="9" borderId="1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200" fontId="5" fillId="5" borderId="1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  <x:xf numFmtId="200" fontId="13" fillId="9" borderId="0" xfId="0" applyNumberFormat="1" applyFont="1" applyFill="1" applyBorder="1"/>
    <x:xf numFmtId="200" fontId="8" fillId="6" borderId="1" xfId="0" applyNumberFormat="1" applyFont="1" applyFill="1" applyBorder="1" applyAlignment="1">
      <x:alignment horizontal="center" vertical="center"/>
    </x:xf>
    <x:xf numFmtId="0" fontId="10" fillId="9" borderId="1" xfId="0" applyNumberFormat="1" applyFont="1" applyFill="1" applyBorder="1" applyAlignment="1">
      <x:alignment horizontal="center" vertical="top" wrapText="1"/>
    </x:xf>
    <x:xf numFmtId="200" fontId="9" fillId="10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left" vertical="top" wrapText="1"/>
    </x:xf>
    <x:xf numFmtId="200" fontId="3" fillId="10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center" vertical="center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center" vertical="top" wrapText="1"/>
    </x:xf>
    <x:xf numFmtId="200" fontId="9" fillId="11" borderId="1" xfId="0" applyNumberFormat="1" applyFont="1" applyFill="1" applyBorder="1" applyAlignment="1">
      <x:alignment horizontal="center" vertical="center" wrapText="1"/>
    </x:xf>
    <x:xf numFmtId="0" fontId="10" fillId="11" borderId="1" xfId="0" applyNumberFormat="1" applyFont="1" applyFill="1" applyBorder="1" applyAlignment="1">
      <x:alignment horizontal="left" vertical="top" wrapText="1"/>
    </x:xf>
    <x:xf numFmtId="200" fontId="3" fillId="11" borderId="1" xfId="0" applyNumberFormat="1" applyFont="1" applyFill="1" applyBorder="1" applyAlignment="1">
      <x:alignment horizontal="center" vertical="center" wrapText="1"/>
    </x:xf>
    <x:xf numFmtId="0" fontId="10" fillId="11" borderId="1" xfId="0" applyNumberFormat="1" applyFont="1" applyFill="1" applyBorder="1" applyAlignment="1">
      <x:alignment horizontal="center" vertical="center"/>
    </x:xf>
    <x:xf numFmtId="0" fontId="10" fillId="11" borderId="1" xfId="0" applyNumberFormat="1" applyFont="1" applyFill="1" applyBorder="1" applyAlignment="1">
      <x:alignment horizontal="center" vertical="center" wrapText="1"/>
    </x:xf>
    <x:xf numFmtId="200" fontId="4" fillId="11" borderId="1" xfId="0" applyNumberFormat="1" applyFont="1" applyFill="1" applyBorder="1" applyAlignment="1">
      <x:alignment horizontal="center" vertical="center" wrapText="1"/>
    </x:xf>
    <x:xf numFmtId="0" fontId="10" fillId="11" borderId="1" xfId="0" applyNumberFormat="1" applyFont="1" applyFill="1" applyBorder="1" applyAlignment="1">
      <x:alignment horizontal="center" vertical="top" wrapText="1"/>
    </x:xf>
    <x:xf numFmtId="200" fontId="9" fillId="12" borderId="1" xfId="0" applyNumberFormat="1" applyFont="1" applyFill="1" applyBorder="1" applyAlignment="1">
      <x:alignment horizontal="center" vertical="center" wrapText="1"/>
    </x:xf>
    <x:xf numFmtId="0" fontId="10" fillId="12" borderId="1" xfId="0" applyNumberFormat="1" applyFont="1" applyFill="1" applyBorder="1" applyAlignment="1">
      <x:alignment horizontal="left" vertical="top" wrapText="1"/>
    </x:xf>
    <x:xf numFmtId="200" fontId="5" fillId="12" borderId="1" xfId="0" applyNumberFormat="1" applyFont="1" applyFill="1" applyBorder="1" applyAlignment="1">
      <x:alignment horizontal="center" vertical="center" wrapText="1"/>
    </x:xf>
    <x:xf numFmtId="0" fontId="10" fillId="12" borderId="1" xfId="0" applyNumberFormat="1" applyFont="1" applyFill="1" applyBorder="1" applyAlignment="1">
      <x:alignment horizontal="center" vertical="center"/>
    </x:xf>
    <x:xf numFmtId="0" fontId="10" fillId="12" borderId="1" xfId="0" applyNumberFormat="1" applyFont="1" applyFill="1" applyBorder="1" applyAlignment="1">
      <x:alignment horizontal="center" vertical="center" wrapText="1"/>
    </x:xf>
    <x:xf numFmtId="0" fontId="10" fillId="12" borderId="1" xfId="0" applyNumberFormat="1" applyFont="1" applyFill="1" applyBorder="1" applyAlignment="1">
      <x:alignment horizontal="center" vertical="top" wrapText="1"/>
    </x:xf>
    <x:xf numFmtId="200" fontId="5" fillId="11" borderId="1" xfId="0" applyNumberFormat="1" applyFont="1" applyFill="1" applyBorder="1" applyAlignment="1">
      <x:alignment horizontal="center" vertical="center" wrapText="1"/>
    </x:xf>
    <x:xf numFmtId="200" fontId="5" fillId="10" borderId="1" xfId="0" applyNumberFormat="1" applyFont="1" applyFill="1" applyBorder="1" applyAlignment="1">
      <x:alignment horizontal="center" vertical="center" wrapText="1"/>
    </x:xf>
    <x:xf numFmtId="200" fontId="0" fillId="10" borderId="0" xfId="0" applyNumberFormat="1" applyFont="1" applyFill="1" applyBorder="1"/>
    <x:xf numFmtId="0" fontId="0" fillId="10" borderId="0" xfId="0" applyNumberFormat="1" applyFont="1" applyFill="1" applyBorder="1"/>
    <x:xf numFmtId="200" fontId="0" fillId="10" borderId="1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200" fontId="14" fillId="10" borderId="1" xfId="0" applyNumberFormat="1" applyFont="1" applyFill="1" applyBorder="1" applyAlignment="1">
      <x:alignment wrapText="1"/>
    </x:xf>
    <x:xf numFmtId="200" fontId="14" fillId="10" borderId="1" xfId="0" applyNumberFormat="1" applyFont="1" applyFill="1" applyBorder="1" applyAlignment="1">
      <x:alignment horizontal="center" wrapText="1"/>
    </x:xf>
    <x:xf numFmtId="0" fontId="0" fillId="10" borderId="1" xfId="0" applyNumberFormat="1" applyFont="1" applyFill="1" applyBorder="1" applyAlignment="1">
      <x:alignment horizontal="left" wrapText="1"/>
    </x:xf>
    <x:xf numFmtId="200" fontId="15" fillId="10" borderId="1" xfId="0" applyNumberFormat="1" applyFont="1" applyFill="1" applyBorder="1" applyAlignment="1">
      <x:alignment wrapText="1"/>
    </x:xf>
    <x:xf numFmtId="200" fontId="15" fillId="10" borderId="1" xfId="0" applyNumberFormat="1" applyFont="1" applyFill="1" applyBorder="1" applyAlignment="1">
      <x:alignment horizontal="center" wrapText="1"/>
    </x:xf>
    <x:xf numFmtId="0" fontId="0" fillId="10" borderId="1" xfId="0" applyNumberFormat="1" applyFont="1" applyFill="1" applyBorder="1" applyAlignment="1">
      <x:alignment horizontal="center" wrapText="1"/>
    </x:xf>
    <x:xf numFmtId="200" fontId="0" fillId="9" borderId="1" xfId="0" applyNumberFormat="1" applyFont="1" applyFill="1" applyBorder="1"/>
    <x:xf numFmtId="0" fontId="0" fillId="9" borderId="1" xfId="0" applyNumberFormat="1" applyFont="1" applyFill="1" applyBorder="1"/>
    <x:xf numFmtId="200" fontId="13" fillId="9" borderId="1" xfId="0" applyNumberFormat="1" applyFont="1" applyFill="1" applyBorder="1"/>
    <x:xf numFmtId="0" fontId="13" fillId="9" borderId="1" xfId="0" applyNumberFormat="1" applyFont="1" applyFill="1" applyBorder="1"/>
    <x:xf numFmtId="20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0" fontId="13" fillId="9" borderId="1" xfId="0" applyNumberFormat="1" applyFont="1" applyFill="1" applyBorder="1" applyAlignment="1">
      <x:alignment wrapText="1"/>
    </x:xf>
    <x:xf numFmtId="0" fontId="13" fillId="9" borderId="1" xfId="0" applyNumberFormat="1" applyFont="1" applyFill="1" applyBorder="1" applyAlignment="1">
      <x:alignment wrapText="1"/>
    </x:xf>
    <x:xf numFmtId="200" fontId="14" fillId="9" borderId="1" xfId="0" applyNumberFormat="1" applyFont="1" applyFill="1" applyBorder="1" applyAlignment="1">
      <x:alignment wrapText="1"/>
    </x:xf>
    <x:xf numFmtId="200" fontId="14" fillId="9" borderId="1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horizontal="left" wrapText="1"/>
    </x:xf>
    <x:xf numFmtId="200" fontId="13" fillId="9" borderId="1" xfId="0" applyNumberFormat="1" applyFont="1" applyFill="1" applyBorder="1" applyAlignment="1">
      <x:alignment horizontal="center" wrapText="1"/>
    </x:xf>
    <x:xf numFmtId="0" fontId="13" fillId="9" borderId="1" xfId="0" applyNumberFormat="1" applyFont="1" applyFill="1" applyBorder="1" applyAlignment="1">
      <x:alignment horizontal="center" wrapText="1"/>
    </x:xf>
    <x:xf numFmtId="0" fontId="0" fillId="9" borderId="1" xfId="0" applyNumberFormat="1" applyFont="1" applyFill="1" applyBorder="1" applyAlignment="1">
      <x:alignment horizontal="center" wrapText="1"/>
    </x:xf>
    <x:xf numFmtId="201" fontId="9" fillId="9" borderId="1" xfId="0" applyNumberFormat="1" applyFont="1" applyFill="1" applyBorder="1" applyAlignment="1">
      <x:alignment horizontal="center" vertical="center" wrapText="1"/>
    </x:xf>
    <x:xf numFmtId="202" fontId="9" fillId="9" borderId="1" xfId="0" applyNumberFormat="1" applyFont="1" applyFill="1" applyBorder="1" applyAlignment="1">
      <x:alignment horizontal="center" vertical="center" wrapText="1"/>
    </x:xf>
    <x:xf numFmtId="201" fontId="9" fillId="10" borderId="1" xfId="0" applyNumberFormat="1" applyFont="1" applyFill="1" applyBorder="1" applyAlignment="1">
      <x:alignment horizontal="center" vertical="center" wrapText="1"/>
    </x:xf>
    <x:xf numFmtId="201" fontId="9" fillId="12" borderId="1" xfId="0" applyNumberFormat="1" applyFont="1" applyFill="1" applyBorder="1" applyAlignment="1">
      <x:alignment horizontal="center" vertical="center" wrapText="1"/>
    </x:xf>
    <x:xf numFmtId="201" fontId="9" fillId="11" borderId="1" xfId="0" applyNumberFormat="1" applyFont="1" applyFill="1" applyBorder="1" applyAlignment="1">
      <x:alignment horizontal="center" vertical="center" wrapText="1"/>
    </x:xf>
    <x:xf numFmtId="202" fontId="9" fillId="10" borderId="1" xfId="0" applyNumberFormat="1" applyFont="1" applyFill="1" applyBorder="1" applyAlignment="1">
      <x:alignment horizontal="center" vertical="center" wrapText="1"/>
    </x:xf>
    <x:xf numFmtId="202" fontId="9" fillId="12" borderId="1" xfId="0" applyNumberFormat="1" applyFont="1" applyFill="1" applyBorder="1" applyAlignment="1">
      <x:alignment horizontal="center" vertical="center" wrapText="1"/>
    </x:xf>
    <x:xf numFmtId="202" fontId="9" fillId="11" borderId="1" xfId="0" applyNumberFormat="1" applyFont="1" applyFill="1" applyBorder="1" applyAlignment="1">
      <x:alignment horizontal="center" vertical="center" wrapText="1"/>
    </x:xf>
    <x:xf numFmtId="202" fontId="14" fillId="10" borderId="1" xfId="0" applyNumberFormat="1" applyFont="1" applyFill="1" applyBorder="1" applyAlignment="1">
      <x:alignment horizontal="center" wrapText="1"/>
    </x:xf>
    <x:xf numFmtId="202" fontId="14" fillId="9" borderId="1" xfId="0" applyNumberFormat="1" applyFont="1" applyFill="1" applyBorder="1" applyAlignment="1">
      <x:alignment horizontal="center" wrapText="1"/>
    </x:xf>
    <x:xf numFmtId="201" fontId="3" fillId="10" borderId="1" xfId="0" applyNumberFormat="1" applyFont="1" applyFill="1" applyBorder="1" applyAlignment="1">
      <x:alignment horizontal="center" vertical="center" wrapText="1"/>
    </x:xf>
    <x:xf numFmtId="201" fontId="4" fillId="11" borderId="1" xfId="0" applyNumberFormat="1" applyFont="1" applyFill="1" applyBorder="1" applyAlignment="1">
      <x:alignment horizontal="center" vertical="center" wrapText="1"/>
    </x:xf>
    <x:xf numFmtId="202" fontId="3" fillId="10" borderId="1" xfId="0" applyNumberFormat="1" applyFont="1" applyFill="1" applyBorder="1" applyAlignment="1">
      <x:alignment horizontal="center" vertical="center" wrapText="1"/>
    </x:xf>
    <x:xf numFmtId="202" fontId="4" fillId="11" borderId="1" xfId="0" applyNumberFormat="1" applyFont="1" applyFill="1" applyBorder="1" applyAlignment="1">
      <x:alignment horizontal="center" vertical="center" wrapText="1"/>
    </x:xf>
    <x:xf numFmtId="201" fontId="12" fillId="9" borderId="1" xfId="0" applyNumberFormat="1" applyFont="1" applyFill="1" applyBorder="1" applyAlignment="1">
      <x:alignment horizontal="center" vertical="center" wrapText="1"/>
    </x:xf>
    <x:xf numFmtId="202" fontId="15" fillId="10" borderId="1" xfId="0" applyNumberFormat="1" applyFont="1" applyFill="1" applyBorder="1" applyAlignment="1">
      <x:alignment horizontal="center" wrapText="1"/>
    </x:xf>
    <x:xf numFmtId="202" fontId="13" fillId="9" borderId="1" xfId="0" applyNumberFormat="1" applyFont="1" applyFill="1" applyBorder="1" applyAlignment="1">
      <x:alignment horizont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e214cb699c4548" /><Relationship Type="http://schemas.openxmlformats.org/officeDocument/2006/relationships/theme" Target="/xl/theme/theme1.xml" Id="R0391d5d4c4a446d3" /><Relationship Type="http://schemas.openxmlformats.org/officeDocument/2006/relationships/sharedStrings" Target="/xl/sharedStrings.xml" Id="R9d4aa78e80154d27" /><Relationship Type="http://schemas.openxmlformats.org/officeDocument/2006/relationships/worksheet" Target="/xl/worksheets/sheet1.xml" Id="R70a2798cb81c4d8e" /><Relationship Type="http://schemas.openxmlformats.org/officeDocument/2006/relationships/worksheet" Target="/xl/worksheets/sheet2.xml" Id="Rb00a7ebd5fde45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3" customWidth="1"/>
    <x:col min="2" max="2" width="14" customWidth="1"/>
    <x:col min="3" max="3" width="45" customWidth="1"/>
    <x:col min="4" max="4" width="30" customWidth="1"/>
    <x:col min="5" max="5" width="12" customWidth="1"/>
    <x:col min="6" max="6" width="10" customWidth="1"/>
    <x:col min="7" max="7" width="55" customWidth="1"/>
  </x:cols>
  <x:sheetData>
    <x:row r="1">
      <x:c r="B1"/>
      <x:c r="C1"/>
      <x:c r="D1"/>
      <x:c r="E1"/>
      <x:c r="F1"/>
      <x:c r="G1"/>
    </x:row>
    <x:row r="2" ht="18">
      <x:c r="B2" s="21" t="str">
        <x:v>ВСЕ ПУНКТЫ ДОГОВОРА — МАППИНГ К МАТРИЦЕ (многие ко многим)</x:v>
      </x:c>
      <x:c r="C2" s="20"/>
      <x:c r="D2" s="20"/>
      <x:c r="E2" s="20"/>
      <x:c r="F2" s="20"/>
      <x:c r="G2" s="20"/>
      <x:c r="H2" s="20"/>
    </x:row>
    <x:row r="3">
      <x:c r="B3"/>
      <x:c r="C3"/>
      <x:c r="D3"/>
      <x:c r="E3"/>
      <x:c r="F3"/>
      <x:c r="G3"/>
    </x:row>
    <x:row r="4" ht="28.799999237060547">
      <x:c r="B4" s="33" t="str">
        <x:v>№ п/п договора</x:v>
      </x:c>
      <x:c r="C4" s="1" t="str">
        <x:v>Краткое описание пункта договора</x:v>
      </x:c>
      <x:c r="D4" s="33" t="str">
        <x:v>Аналог(и) в матрице (все)</x:v>
      </x:c>
      <x:c r="E4" s="1" t="str">
        <x:v>Статус</x:v>
      </x:c>
      <x:c r="F4" s="1" t="str">
        <x:v>Обяз. по матрице</x:v>
      </x:c>
      <x:c r="G4" s="1" t="str">
        <x:v>Комментарий / расхождение</x:v>
      </x:c>
    </x:row>
    <x:row r="5" ht="22.049999237060547" customHeight="1">
      <x:c r="B5" s="34" t="str">
        <x:v>РАЗДЕЛ 1. ОСНОВНЫЕ ТЕРМИНЫ</x:v>
      </x:c>
      <x:c r="C5" s="20"/>
      <x:c r="D5" s="39"/>
      <x:c r="E5" s="20"/>
      <x:c r="F5" s="20"/>
      <x:c r="G5" s="20"/>
    </x:row>
    <x:row r="6" ht="31.950000762939453" customHeight="1">
      <x:c r="B6" s="95" t="n">
        <x:v>1.1</x:v>
      </x:c>
      <x:c r="C6" s="25" t="str">
        <x:v>Определение: «Авторизация»</x:v>
      </x:c>
      <x:c r="D6" s="41" t="str">
        <x:v>—</x:v>
      </x:c>
      <x:c r="E6" s="28" t="str">
        <x:v>ℹ️ Исключено</x:v>
      </x:c>
      <x:c r="F6" s="47" t="str">
        <x:v>—</x:v>
      </x:c>
      <x:c r="G6" s="25" t="str">
        <x:v>Глоссарий: определение не создаёт самостоятельного права, обязанности, ограничения или ответственности.</x:v>
      </x:c>
    </x:row>
    <x:row r="7" ht="31.950000762939453" customHeight="1">
      <x:c r="B7" s="95" t="n">
        <x:v>1.2</x:v>
      </x:c>
      <x:c r="C7" s="25" t="str">
        <x:v>Определение: «Банк»</x:v>
      </x:c>
      <x:c r="D7" s="41" t="str">
        <x:v>—</x:v>
      </x:c>
      <x:c r="E7" s="28" t="str">
        <x:v>ℹ️ Исключено</x:v>
      </x:c>
      <x:c r="F7" s="47" t="str">
        <x:v>—</x:v>
      </x:c>
      <x:c r="G7" s="25" t="str">
        <x:v>Глоссарий: определение не создаёт самостоятельного права, обязанности, ограничения или ответственности.</x:v>
      </x:c>
    </x:row>
    <x:row r="8" ht="31.950000762939453" customHeight="1">
      <x:c r="B8" s="95" t="n">
        <x:v>1.3</x:v>
      </x:c>
      <x:c r="C8" s="25" t="str">
        <x:v>Определение: «Банковская карта (Карта)»</x:v>
      </x:c>
      <x:c r="D8" s="41" t="str">
        <x:v>—</x:v>
      </x:c>
      <x:c r="E8" s="28" t="str">
        <x:v>ℹ️ Исключено</x:v>
      </x:c>
      <x:c r="F8" s="47" t="str">
        <x:v>—</x:v>
      </x:c>
      <x:c r="G8" s="25" t="str">
        <x:v>Глоссарий: определение не создаёт самостоятельного права, обязанности, ограничения или ответственности.</x:v>
      </x:c>
    </x:row>
    <x:row r="9" ht="31.950000762939453" customHeight="1">
      <x:c r="B9" s="95" t="n">
        <x:v>1.4</x:v>
      </x:c>
      <x:c r="C9" s="25" t="str">
        <x:v>Определение: «Банковский счёт»</x:v>
      </x:c>
      <x:c r="D9" s="41" t="str">
        <x:v>—</x:v>
      </x:c>
      <x:c r="E9" s="28" t="str">
        <x:v>ℹ️ Исключено</x:v>
      </x:c>
      <x:c r="F9" s="47" t="str">
        <x:v>—</x:v>
      </x:c>
      <x:c r="G9" s="25" t="str">
        <x:v>Глоссарий: определение не создаёт самостоятельного права, обязанности, ограничения или ответственности.</x:v>
      </x:c>
    </x:row>
    <x:row r="10" ht="31.950000762939453" customHeight="1">
      <x:c r="B10" s="95" t="n">
        <x:v>1.5</x:v>
      </x:c>
      <x:c r="C10" s="25" t="str">
        <x:v>Определение: «Банк-эквайрер»</x:v>
      </x:c>
      <x:c r="D10" s="41" t="str">
        <x:v>—</x:v>
      </x:c>
      <x:c r="E10" s="28" t="str">
        <x:v>ℹ️ Исключено</x:v>
      </x:c>
      <x:c r="F10" s="47" t="str">
        <x:v>—</x:v>
      </x:c>
      <x:c r="G10" s="25" t="str">
        <x:v>Глоссарий: определение не создаёт самостоятельного права, обязанности, ограничения или ответственности.</x:v>
      </x:c>
    </x:row>
    <x:row r="11" ht="31.950000762939453" customHeight="1">
      <x:c r="B11" s="95" t="n">
        <x:v>1.6</x:v>
      </x:c>
      <x:c r="C11" s="25" t="str">
        <x:v>Определение: «Банк-эмитент»</x:v>
      </x:c>
      <x:c r="D11" s="41" t="str">
        <x:v>—</x:v>
      </x:c>
      <x:c r="E11" s="28" t="str">
        <x:v>ℹ️ Исключено</x:v>
      </x:c>
      <x:c r="F11" s="47" t="str">
        <x:v>—</x:v>
      </x:c>
      <x:c r="G11" s="25" t="str">
        <x:v>Глоссарий: определение не создаёт самостоятельного права, обязанности, ограничения или ответственности.</x:v>
      </x:c>
    </x:row>
    <x:row r="12" ht="31.950000762939453" customHeight="1">
      <x:c r="B12" s="95" t="n">
        <x:v>1.7</x:v>
      </x:c>
      <x:c r="C12" s="25" t="str">
        <x:v>Определение: «Возврат платежа»</x:v>
      </x:c>
      <x:c r="D12" s="41" t="str">
        <x:v>—</x:v>
      </x:c>
      <x:c r="E12" s="28" t="str">
        <x:v>ℹ️ Исключено</x:v>
      </x:c>
      <x:c r="F12" s="47" t="str">
        <x:v>—</x:v>
      </x:c>
      <x:c r="G12" s="25" t="str">
        <x:v>Глоссарий: определение не создаёт самостоятельного права, обязанности, ограничения или ответственности.</x:v>
      </x:c>
    </x:row>
    <x:row r="13" ht="31.950000762939453" customHeight="1">
      <x:c r="B13" s="95" t="n">
        <x:v>1.8</x:v>
      </x:c>
      <x:c r="C13" s="25" t="str">
        <x:v>Определение: «Держатель карты»</x:v>
      </x:c>
      <x:c r="D13" s="41" t="str">
        <x:v>—</x:v>
      </x:c>
      <x:c r="E13" s="28" t="str">
        <x:v>ℹ️ Исключено</x:v>
      </x:c>
      <x:c r="F13" s="47" t="str">
        <x:v>—</x:v>
      </x:c>
      <x:c r="G13" s="25" t="str">
        <x:v>Глоссарий: определение не создаёт самостоятельного права, обязанности, ограничения или ответственности.</x:v>
      </x:c>
    </x:row>
    <x:row r="14" ht="31.950000762939453" customHeight="1">
      <x:c r="B14" s="95" t="n">
        <x:v>1.9</x:v>
      </x:c>
      <x:c r="C14" s="25" t="str">
        <x:v>Определение: «Документ по операции»</x:v>
      </x:c>
      <x:c r="D14" s="41" t="str">
        <x:v>—</x:v>
      </x:c>
      <x:c r="E14" s="28" t="str">
        <x:v>ℹ️ Исключено</x:v>
      </x:c>
      <x:c r="F14" s="47" t="str">
        <x:v>—</x:v>
      </x:c>
      <x:c r="G14" s="25" t="str">
        <x:v>Глоссарий: определение не создаёт самостоятельного права, обязанности, ограничения или ответственности.</x:v>
      </x:c>
    </x:row>
    <x:row r="15" ht="31.950000762939453" customHeight="1">
      <x:c r="B15" s="35" t="str">
        <x:f>"1.10"</x:f>
        <x:v>1.10</x:v>
      </x:c>
      <x:c r="C15" s="25" t="str">
        <x:v>Определение: «Интернет-эквайринг»</x:v>
      </x:c>
      <x:c r="D15" s="41" t="str">
        <x:v>—</x:v>
      </x:c>
      <x:c r="E15" s="28" t="str">
        <x:v>ℹ️ Исключено</x:v>
      </x:c>
      <x:c r="F15" s="47" t="str">
        <x:v>—</x:v>
      </x:c>
      <x:c r="G15" s="25" t="str">
        <x:v>Глоссарий: определение не создаёт самостоятельного права, обязанности, ограничения или ответственности.</x:v>
      </x:c>
    </x:row>
    <x:row r="16" ht="31.950000762939453" customHeight="1">
      <x:c r="B16" s="96" t="n">
        <x:v>1.11</x:v>
      </x:c>
      <x:c r="C16" s="25" t="str">
        <x:v>Определение: «Код авторизации»</x:v>
      </x:c>
      <x:c r="D16" s="41" t="str">
        <x:v>—</x:v>
      </x:c>
      <x:c r="E16" s="28" t="str">
        <x:v>ℹ️ Исключено</x:v>
      </x:c>
      <x:c r="F16" s="47" t="str">
        <x:v>—</x:v>
      </x:c>
      <x:c r="G16" s="25" t="str">
        <x:v>Глоссарий: определение не создаёт самостоятельного права, обязанности, ограничения или ответственности.</x:v>
      </x:c>
    </x:row>
    <x:row r="17" ht="31.950000762939453" customHeight="1">
      <x:c r="B17" s="96" t="n">
        <x:v>1.12</x:v>
      </x:c>
      <x:c r="C17" s="25" t="str">
        <x:v>Определение: «ККТ»</x:v>
      </x:c>
      <x:c r="D17" s="41" t="str">
        <x:v>—</x:v>
      </x:c>
      <x:c r="E17" s="28" t="str">
        <x:v>ℹ️ Исключено</x:v>
      </x:c>
      <x:c r="F17" s="47" t="str">
        <x:v>—</x:v>
      </x:c>
      <x:c r="G17" s="25" t="str">
        <x:v>Глоссарий: определение не создаёт самостоятельного права, обязанности, ограничения или ответственности.</x:v>
      </x:c>
    </x:row>
    <x:row r="18" ht="31.950000762939453" customHeight="1">
      <x:c r="B18" s="96" t="n">
        <x:v>1.13</x:v>
      </x:c>
      <x:c r="C18" s="25" t="str">
        <x:v>Определение: «Личный кабинет ИЭ»</x:v>
      </x:c>
      <x:c r="D18" s="41" t="str">
        <x:v>—</x:v>
      </x:c>
      <x:c r="E18" s="28" t="str">
        <x:v>ℹ️ Исключено</x:v>
      </x:c>
      <x:c r="F18" s="47" t="str">
        <x:v>—</x:v>
      </x:c>
      <x:c r="G18" s="25" t="str">
        <x:v>Глоссарий: определение не создаёт самостоятельного права, обязанности, ограничения или ответственности.</x:v>
      </x:c>
    </x:row>
    <x:row r="19" ht="31.950000762939453" customHeight="1">
      <x:c r="B19" s="96" t="n">
        <x:v>1.14</x:v>
      </x:c>
      <x:c r="C19" s="25" t="str">
        <x:v>Определение: «Личный кабинет ТСТ»</x:v>
      </x:c>
      <x:c r="D19" s="41" t="str">
        <x:v>—</x:v>
      </x:c>
      <x:c r="E19" s="28" t="str">
        <x:v>ℹ️ Исключено</x:v>
      </x:c>
      <x:c r="F19" s="47" t="str">
        <x:v>—</x:v>
      </x:c>
      <x:c r="G19" s="25" t="str">
        <x:v>Глоссарий: определение не создаёт самостоятельного права, обязанности, ограничения или ответственности.</x:v>
      </x:c>
    </x:row>
    <x:row r="20" ht="31.950000762939453" customHeight="1">
      <x:c r="B20" s="96" t="n">
        <x:v>1.15</x:v>
      </x:c>
      <x:c r="C20" s="25" t="str">
        <x:v>Определение: «Мобильное приложение для Предприятий»</x:v>
      </x:c>
      <x:c r="D20" s="41" t="str">
        <x:v>—</x:v>
      </x:c>
      <x:c r="E20" s="28" t="str">
        <x:v>ℹ️ Исключено</x:v>
      </x:c>
      <x:c r="F20" s="47" t="str">
        <x:v>—</x:v>
      </x:c>
      <x:c r="G20" s="25" t="str">
        <x:v>Глоссарий: определение не создаёт самостоятельного права, обязанности, ограничения или ответственности.</x:v>
      </x:c>
    </x:row>
    <x:row r="21" ht="31.950000762939453" customHeight="1">
      <x:c r="B21" s="96" t="n">
        <x:v>1.16</x:v>
      </x:c>
      <x:c r="C21" s="25" t="str">
        <x:v>Определение: «Мобильное приложение для Держателя»</x:v>
      </x:c>
      <x:c r="D21" s="41" t="str">
        <x:v>—</x:v>
      </x:c>
      <x:c r="E21" s="28" t="str">
        <x:v>ℹ️ Исключено</x:v>
      </x:c>
      <x:c r="F21" s="47" t="str">
        <x:v>—</x:v>
      </x:c>
      <x:c r="G21" s="25" t="str">
        <x:v>Глоссарий: определение не создаёт самостоятельного права, обязанности, ограничения или ответственности.</x:v>
      </x:c>
    </x:row>
    <x:row r="22" ht="31.950000762939453" customHeight="1">
      <x:c r="B22" s="96" t="n">
        <x:v>1.17</x:v>
      </x:c>
      <x:c r="C22" s="25" t="str">
        <x:v>Определение: «Мобильное устройство Предприятия»</x:v>
      </x:c>
      <x:c r="D22" s="41" t="str">
        <x:v>—</x:v>
      </x:c>
      <x:c r="E22" s="28" t="str">
        <x:v>ℹ️ Исключено</x:v>
      </x:c>
      <x:c r="F22" s="47" t="str">
        <x:v>—</x:v>
      </x:c>
      <x:c r="G22" s="25" t="str">
        <x:v>Глоссарий: определение не создаёт самостоятельного права, обязанности, ограничения или ответственности.</x:v>
      </x:c>
    </x:row>
    <x:row r="23" ht="31.950000762939453" customHeight="1">
      <x:c r="B23" s="96" t="n">
        <x:v>1.18</x:v>
      </x:c>
      <x:c r="C23" s="25" t="str">
        <x:v>Определение: «Мобильный терминал (mPOS)»</x:v>
      </x:c>
      <x:c r="D23" s="41" t="str">
        <x:v>—</x:v>
      </x:c>
      <x:c r="E23" s="28" t="str">
        <x:v>ℹ️ Исключено</x:v>
      </x:c>
      <x:c r="F23" s="47" t="str">
        <x:v>—</x:v>
      </x:c>
      <x:c r="G23" s="25" t="str">
        <x:v>Глоссарий: определение не создаёт самостоятельного права, обязанности, ограничения или ответственности.</x:v>
      </x:c>
    </x:row>
    <x:row r="24" ht="31.950000762939453" customHeight="1">
      <x:c r="B24" s="96" t="n">
        <x:v>1.19</x:v>
      </x:c>
      <x:c r="C24" s="25" t="str">
        <x:v>Определение: «Обслуживающая компания»</x:v>
      </x:c>
      <x:c r="D24" s="41" t="str">
        <x:v>—</x:v>
      </x:c>
      <x:c r="E24" s="28" t="str">
        <x:v>ℹ️ Исключено</x:v>
      </x:c>
      <x:c r="F24" s="47" t="str">
        <x:v>—</x:v>
      </x:c>
      <x:c r="G24" s="25" t="str">
        <x:v>Глоссарий: определение не создаёт самостоятельного права, обязанности, ограничения или ответственности.</x:v>
      </x:c>
    </x:row>
    <x:row r="25" ht="31.950000762939453" customHeight="1">
      <x:c r="B25" s="35" t="str">
        <x:f>"1.20"</x:f>
        <x:v>1.20</x:v>
      </x:c>
      <x:c r="C25" s="25" t="str">
        <x:v>Определение: «Операция»</x:v>
      </x:c>
      <x:c r="D25" s="41" t="str">
        <x:v>—</x:v>
      </x:c>
      <x:c r="E25" s="28" t="str">
        <x:v>ℹ️ Исключено</x:v>
      </x:c>
      <x:c r="F25" s="47" t="str">
        <x:v>—</x:v>
      </x:c>
      <x:c r="G25" s="25" t="str">
        <x:v>Глоссарий: определение не создаёт самостоятельного права, обязанности, ограничения или ответственности.</x:v>
      </x:c>
    </x:row>
    <x:row r="26" ht="31.950000762939453" customHeight="1">
      <x:c r="B26" s="96" t="n">
        <x:v>1.21</x:v>
      </x:c>
      <x:c r="C26" s="25" t="str">
        <x:v>Определение: «Операция возврата»</x:v>
      </x:c>
      <x:c r="D26" s="41" t="str">
        <x:v>—</x:v>
      </x:c>
      <x:c r="E26" s="28" t="str">
        <x:v>ℹ️ Исключено</x:v>
      </x:c>
      <x:c r="F26" s="47" t="str">
        <x:v>—</x:v>
      </x:c>
      <x:c r="G26" s="25" t="str">
        <x:v>Глоссарий: определение не создаёт самостоятельного права, обязанности, ограничения или ответственности.</x:v>
      </x:c>
    </x:row>
    <x:row r="27" ht="31.950000762939453" customHeight="1">
      <x:c r="B27" s="96" t="n">
        <x:v>1.22</x:v>
      </x:c>
      <x:c r="C27" s="25" t="str">
        <x:v>Определение: «Операция оплаты»</x:v>
      </x:c>
      <x:c r="D27" s="41" t="str">
        <x:v>—</x:v>
      </x:c>
      <x:c r="E27" s="28" t="str">
        <x:v>ℹ️ Исключено</x:v>
      </x:c>
      <x:c r="F27" s="47" t="str">
        <x:v>—</x:v>
      </x:c>
      <x:c r="G27" s="25" t="str">
        <x:v>Глоссарий: определение не создаёт самостоятельного права, обязанности, ограничения или ответственности.</x:v>
      </x:c>
    </x:row>
    <x:row r="28" ht="31.950000762939453" customHeight="1">
      <x:c r="B28" s="96" t="n">
        <x:v>1.23</x:v>
      </x:c>
      <x:c r="C28" s="25" t="str">
        <x:v>Определение: «Операция отмены»</x:v>
      </x:c>
      <x:c r="D28" s="41" t="str">
        <x:v>—</x:v>
      </x:c>
      <x:c r="E28" s="28" t="str">
        <x:v>ℹ️ Исключено</x:v>
      </x:c>
      <x:c r="F28" s="47" t="str">
        <x:v>—</x:v>
      </x:c>
      <x:c r="G28" s="25" t="str">
        <x:v>Глоссарий: определение не создаёт самостоятельного права, обязанности, ограничения или ответственности.</x:v>
      </x:c>
    </x:row>
    <x:row r="29" ht="31.950000762939453" customHeight="1">
      <x:c r="B29" s="96" t="n">
        <x:v>1.24</x:v>
      </x:c>
      <x:c r="C29" s="25" t="str">
        <x:v>Определение: «Отложенный платёж»</x:v>
      </x:c>
      <x:c r="D29" s="41" t="str">
        <x:v>—</x:v>
      </x:c>
      <x:c r="E29" s="28" t="str">
        <x:v>ℹ️ Исключено</x:v>
      </x:c>
      <x:c r="F29" s="47" t="str">
        <x:v>—</x:v>
      </x:c>
      <x:c r="G29" s="25" t="str">
        <x:v>Глоссарий: определение не создаёт самостоятельного права, обязанности, ограничения или ответственности.</x:v>
      </x:c>
    </x:row>
    <x:row r="30" ht="31.950000762939453" customHeight="1">
      <x:c r="B30" s="96" t="n">
        <x:v>1.25</x:v>
      </x:c>
      <x:c r="C30" s="25" t="str">
        <x:v>Определение: «Официальный сайт Банка»</x:v>
      </x:c>
      <x:c r="D30" s="41" t="str">
        <x:v>—</x:v>
      </x:c>
      <x:c r="E30" s="28" t="str">
        <x:v>ℹ️ Исключено</x:v>
      </x:c>
      <x:c r="F30" s="47" t="str">
        <x:v>—</x:v>
      </x:c>
      <x:c r="G30" s="25" t="str">
        <x:v>Глоссарий: определение не создаёт самостоятельного права, обязанности, ограничения или ответственности.</x:v>
      </x:c>
    </x:row>
    <x:row r="31" ht="31.950000762939453" customHeight="1">
      <x:c r="B31" s="96" t="n">
        <x:v>1.26</x:v>
      </x:c>
      <x:c r="C31" s="25" t="str">
        <x:v>Определение: «Платёжная система»</x:v>
      </x:c>
      <x:c r="D31" s="41" t="str">
        <x:v>—</x:v>
      </x:c>
      <x:c r="E31" s="28" t="str">
        <x:v>ℹ️ Исключено</x:v>
      </x:c>
      <x:c r="F31" s="47" t="str">
        <x:v>—</x:v>
      </x:c>
      <x:c r="G31" s="25" t="str">
        <x:v>Глоссарий: определение не создаёт самостоятельного права, обязанности, ограничения или ответственности.</x:v>
      </x:c>
    </x:row>
    <x:row r="32" ht="31.950000762939453" customHeight="1">
      <x:c r="B32" s="96" t="n">
        <x:v>1.27</x:v>
      </x:c>
      <x:c r="C32" s="25" t="str">
        <x:v>Определение: «Платёжная страница»</x:v>
      </x:c>
      <x:c r="D32" s="41" t="str">
        <x:v>—</x:v>
      </x:c>
      <x:c r="E32" s="28" t="str">
        <x:v>ℹ️ Исключено</x:v>
      </x:c>
      <x:c r="F32" s="47" t="str">
        <x:v>—</x:v>
      </x:c>
      <x:c r="G32" s="25" t="str">
        <x:v>Глоссарий: определение не создаёт самостоятельного права, обязанности, ограничения или ответственности.</x:v>
      </x:c>
    </x:row>
    <x:row r="33" ht="31.950000762939453" customHeight="1">
      <x:c r="B33" s="96" t="n">
        <x:v>1.28</x:v>
      </x:c>
      <x:c r="C33" s="25" t="str">
        <x:v>Определение: «Платёжный счёт»</x:v>
      </x:c>
      <x:c r="D33" s="41" t="str">
        <x:v>—</x:v>
      </x:c>
      <x:c r="E33" s="28" t="str">
        <x:v>ℹ️ Исключено</x:v>
      </x:c>
      <x:c r="F33" s="47" t="str">
        <x:v>—</x:v>
      </x:c>
      <x:c r="G33" s="25" t="str">
        <x:v>Глоссарий: определение не создаёт самостоятельного права, обязанности, ограничения или ответственности.</x:v>
      </x:c>
    </x:row>
    <x:row r="34" ht="31.950000762939453" customHeight="1">
      <x:c r="B34" s="96" t="n">
        <x:v>1.29</x:v>
      </x:c>
      <x:c r="C34" s="25" t="str">
        <x:v>Определение: «_____ (сервис Банка / SberPay)»</x:v>
      </x:c>
      <x:c r="D34" s="41" t="str">
        <x:v>—</x:v>
      </x:c>
      <x:c r="E34" s="28" t="str">
        <x:v>ℹ️ Исключено</x:v>
      </x:c>
      <x:c r="F34" s="47" t="str">
        <x:v>—</x:v>
      </x:c>
      <x:c r="G34" s="25" t="str">
        <x:v>Глоссарий: определение не создаёт самостоятельного права, обязанности, ограничения или ответственности.</x:v>
      </x:c>
    </x:row>
    <x:row r="35" ht="31.950000762939453" customHeight="1">
      <x:c r="B35" s="35" t="str">
        <x:f>"1.30"</x:f>
        <x:v>1.30</x:v>
      </x:c>
      <x:c r="C35" s="25" t="str">
        <x:v>Определение: «Повторяющиеся платежи»</x:v>
      </x:c>
      <x:c r="D35" s="41" t="str">
        <x:v>—</x:v>
      </x:c>
      <x:c r="E35" s="28" t="str">
        <x:v>ℹ️ Исключено</x:v>
      </x:c>
      <x:c r="F35" s="47" t="str">
        <x:v>—</x:v>
      </x:c>
      <x:c r="G35" s="25" t="str">
        <x:v>Глоссарий: определение не создаёт самостоятельного права, обязанности, ограничения или ответственности.</x:v>
      </x:c>
    </x:row>
    <x:row r="36" ht="31.950000762939453" customHeight="1">
      <x:c r="B36" s="96" t="n">
        <x:v>1.31</x:v>
      </x:c>
      <x:c r="C36" s="25" t="str">
        <x:v>Определение: «Покупатель»</x:v>
      </x:c>
      <x:c r="D36" s="41" t="str">
        <x:v>—</x:v>
      </x:c>
      <x:c r="E36" s="28" t="str">
        <x:v>ℹ️ Исключено</x:v>
      </x:c>
      <x:c r="F36" s="47" t="str">
        <x:v>—</x:v>
      </x:c>
      <x:c r="G36" s="25" t="str">
        <x:v>Глоссарий: определение не создаёт самостоятельного права, обязанности, ограничения или ответственности.</x:v>
      </x:c>
    </x:row>
    <x:row r="37" ht="31.950000762939453" customHeight="1">
      <x:c r="B37" s="96" t="n">
        <x:v>1.32</x:v>
      </x:c>
      <x:c r="C37" s="25" t="str">
        <x:v>Определение: «Предавторизация»</x:v>
      </x:c>
      <x:c r="D37" s="41" t="str">
        <x:v>—</x:v>
      </x:c>
      <x:c r="E37" s="28" t="str">
        <x:v>ℹ️ Исключено</x:v>
      </x:c>
      <x:c r="F37" s="47" t="str">
        <x:v>—</x:v>
      </x:c>
      <x:c r="G37" s="25" t="str">
        <x:v>Глоссарий: определение не создаёт самостоятельного права, обязанности, ограничения или ответственности.</x:v>
      </x:c>
    </x:row>
    <x:row r="38" ht="31.950000762939453" customHeight="1">
      <x:c r="B38" s="96" t="n">
        <x:v>1.33</x:v>
      </x:c>
      <x:c r="C38" s="25" t="str">
        <x:v>Определение: «Предприятие»</x:v>
      </x:c>
      <x:c r="D38" s="41" t="str">
        <x:v>—</x:v>
      </x:c>
      <x:c r="E38" s="28" t="str">
        <x:v>ℹ️ Исключено</x:v>
      </x:c>
      <x:c r="F38" s="47" t="str">
        <x:v>—</x:v>
      </x:c>
      <x:c r="G38" s="25" t="str">
        <x:v>Глоссарий: определение не создаёт самостоятельного права, обязанности, ограничения или ответственности.</x:v>
      </x:c>
    </x:row>
    <x:row r="39" ht="31.950000762939453" customHeight="1">
      <x:c r="B39" s="96" t="n">
        <x:v>1.34</x:v>
      </x:c>
      <x:c r="C39" s="25" t="str">
        <x:v>Определение: «Рабочий день»</x:v>
      </x:c>
      <x:c r="D39" s="41" t="str">
        <x:v>—</x:v>
      </x:c>
      <x:c r="E39" s="28" t="str">
        <x:v>ℹ️ Исключено</x:v>
      </x:c>
      <x:c r="F39" s="47" t="str">
        <x:v>—</x:v>
      </x:c>
      <x:c r="G39" s="25" t="str">
        <x:v>Глоссарий: определение не создаёт самостоятельного права, обязанности, ограничения или ответственности.</x:v>
      </x:c>
    </x:row>
    <x:row r="40" ht="31.950000762939453" customHeight="1">
      <x:c r="B40" s="96" t="n">
        <x:v>1.35</x:v>
      </x:c>
      <x:c r="C40" s="25" t="str">
        <x:v>Определение: «Расчётная информация»</x:v>
      </x:c>
      <x:c r="D40" s="41" t="str">
        <x:v>—</x:v>
      </x:c>
      <x:c r="E40" s="28" t="str">
        <x:v>ℹ️ Исключено</x:v>
      </x:c>
      <x:c r="F40" s="47" t="str">
        <x:v>—</x:v>
      </x:c>
      <x:c r="G40" s="25" t="str">
        <x:v>Глоссарий: определение не создаёт самостоятельного права, обязанности, ограничения или ответственности.</x:v>
      </x:c>
    </x:row>
    <x:row r="41" ht="31.950000762939453" customHeight="1">
      <x:c r="B41" s="96" t="n">
        <x:v>1.36</x:v>
      </x:c>
      <x:c r="C41" s="25" t="str">
        <x:v>Определение: «Реверсивная транзакция»</x:v>
      </x:c>
      <x:c r="D41" s="41" t="str">
        <x:v>—</x:v>
      </x:c>
      <x:c r="E41" s="28" t="str">
        <x:v>ℹ️ Исключено</x:v>
      </x:c>
      <x:c r="F41" s="47" t="str">
        <x:v>—</x:v>
      </x:c>
      <x:c r="G41" s="25" t="str">
        <x:v>Глоссарий: определение не создаёт самостоятельного права, обязанности, ограничения или ответственности.</x:v>
      </x:c>
    </x:row>
    <x:row r="42" ht="31.950000762939453" customHeight="1">
      <x:c r="B42" s="96" t="n">
        <x:v>1.37</x:v>
      </x:c>
      <x:c r="C42" s="25" t="str">
        <x:v>Определение: «Ресурс»</x:v>
      </x:c>
      <x:c r="D42" s="41" t="str">
        <x:v>—</x:v>
      </x:c>
      <x:c r="E42" s="28" t="str">
        <x:v>ℹ️ Исключено</x:v>
      </x:c>
      <x:c r="F42" s="47" t="str">
        <x:v>—</x:v>
      </x:c>
      <x:c r="G42" s="25" t="str">
        <x:v>Глоссарий: определение не создаёт самостоятельного права, обязанности, ограничения или ответственности.</x:v>
      </x:c>
    </x:row>
    <x:row r="43" ht="31.950000762939453" customHeight="1">
      <x:c r="B43" s="96" t="n">
        <x:v>1.38</x:v>
      </x:c>
      <x:c r="C43" s="25" t="str">
        <x:v>Определение: «_____ (СберБанк Онлайн)»</x:v>
      </x:c>
      <x:c r="D43" s="41" t="str">
        <x:v>—</x:v>
      </x:c>
      <x:c r="E43" s="28" t="str">
        <x:v>ℹ️ Исключено</x:v>
      </x:c>
      <x:c r="F43" s="47" t="str">
        <x:v>—</x:v>
      </x:c>
      <x:c r="G43" s="25" t="str">
        <x:v>Глоссарий: определение не создаёт самостоятельного права, обязанности, ограничения или ответственности.</x:v>
      </x:c>
    </x:row>
    <x:row r="44" ht="31.950000762939453" customHeight="1">
      <x:c r="B44" s="96" t="n">
        <x:v>1.39</x:v>
      </x:c>
      <x:c r="C44" s="25" t="str">
        <x:v>Определение: «Сводный чек ЭТ»</x:v>
      </x:c>
      <x:c r="D44" s="41" t="str">
        <x:v>—</x:v>
      </x:c>
      <x:c r="E44" s="28" t="str">
        <x:v>ℹ️ Исключено</x:v>
      </x:c>
      <x:c r="F44" s="47" t="str">
        <x:v>—</x:v>
      </x:c>
      <x:c r="G44" s="25" t="str">
        <x:v>Глоссарий: определение не создаёт самостоятельного права, обязанности, ограничения или ответственности.</x:v>
      </x:c>
    </x:row>
    <x:row r="45" ht="31.950000762939453" customHeight="1">
      <x:c r="B45" s="35" t="str">
        <x:f>"1.40"</x:f>
        <x:v>1.40</x:v>
      </x:c>
      <x:c r="C45" s="25" t="str">
        <x:v>Определение: «Система ДБО»</x:v>
      </x:c>
      <x:c r="D45" s="41" t="str">
        <x:v>—</x:v>
      </x:c>
      <x:c r="E45" s="28" t="str">
        <x:v>ℹ️ Исключено</x:v>
      </x:c>
      <x:c r="F45" s="47" t="str">
        <x:v>—</x:v>
      </x:c>
      <x:c r="G45" s="25" t="str">
        <x:v>Глоссарий: определение не создаёт самостоятельного права, обязанности, ограничения или ответственности.</x:v>
      </x:c>
    </x:row>
    <x:row r="46" ht="31.950000762939453" customHeight="1">
      <x:c r="B46" s="96" t="n">
        <x:v>1.41</x:v>
      </x:c>
      <x:c r="C46" s="25" t="str">
        <x:v>Определение: «СПЭП»</x:v>
      </x:c>
      <x:c r="D46" s="41" t="str">
        <x:v>—</x:v>
      </x:c>
      <x:c r="E46" s="28" t="str">
        <x:v>ℹ️ Исключено</x:v>
      </x:c>
      <x:c r="F46" s="47" t="str">
        <x:v>—</x:v>
      </x:c>
      <x:c r="G46" s="25" t="str">
        <x:v>Глоссарий: определение не создаёт самостоятельного права, обязанности, ограничения или ответственности.</x:v>
      </x:c>
    </x:row>
    <x:row r="47" ht="31.950000762939453" customHeight="1">
      <x:c r="B47" s="96" t="n">
        <x:v>1.42</x:v>
      </x:c>
      <x:c r="C47" s="25" t="str">
        <x:v>Определение: «Стандарт PCI DSS»</x:v>
      </x:c>
      <x:c r="D47" s="41" t="str">
        <x:v>—</x:v>
      </x:c>
      <x:c r="E47" s="28" t="str">
        <x:v>ℹ️ Исключено</x:v>
      </x:c>
      <x:c r="F47" s="47" t="str">
        <x:v>—</x:v>
      </x:c>
      <x:c r="G47" s="25" t="str">
        <x:v>Глоссарий: определение не создаёт самостоятельного права, обязанности, ограничения или ответственности.</x:v>
      </x:c>
    </x:row>
    <x:row r="48" ht="31.950000762939453" customHeight="1">
      <x:c r="B48" s="96" t="n">
        <x:v>1.43</x:v>
      </x:c>
      <x:c r="C48" s="25" t="str">
        <x:v>Определение: «Тарифы Банка»</x:v>
      </x:c>
      <x:c r="D48" s="41" t="str">
        <x:v>—</x:v>
      </x:c>
      <x:c r="E48" s="28" t="str">
        <x:v>ℹ️ Исключено</x:v>
      </x:c>
      <x:c r="F48" s="47" t="str">
        <x:v>—</x:v>
      </x:c>
      <x:c r="G48" s="25" t="str">
        <x:v>Глоссарий: определение не создаёт самостоятельного права, обязанности, ограничения или ответственности.</x:v>
      </x:c>
    </x:row>
    <x:row r="49" ht="31.950000762939453" customHeight="1">
      <x:c r="B49" s="96" t="n">
        <x:v>1.44</x:v>
      </x:c>
      <x:c r="C49" s="25" t="str">
        <x:v>Определение: «Технология 3DSecure»</x:v>
      </x:c>
      <x:c r="D49" s="41" t="str">
        <x:v>—</x:v>
      </x:c>
      <x:c r="E49" s="28" t="str">
        <x:v>ℹ️ Исключено</x:v>
      </x:c>
      <x:c r="F49" s="47" t="str">
        <x:v>—</x:v>
      </x:c>
      <x:c r="G49" s="25" t="str">
        <x:v>Глоссарий: определение не создаёт самостоятельного права, обязанности, ограничения или ответственности.</x:v>
      </x:c>
    </x:row>
    <x:row r="50" ht="31.950000762939453" customHeight="1">
      <x:c r="B50" s="96" t="n">
        <x:v>1.45</x:v>
      </x:c>
      <x:c r="C50" s="25" t="str">
        <x:v>Определение: «Товар/услуга»</x:v>
      </x:c>
      <x:c r="D50" s="41" t="str">
        <x:v>—</x:v>
      </x:c>
      <x:c r="E50" s="28" t="str">
        <x:v>ℹ️ Исключено</x:v>
      </x:c>
      <x:c r="F50" s="47" t="str">
        <x:v>—</x:v>
      </x:c>
      <x:c r="G50" s="25" t="str">
        <x:v>Глоссарий: определение не создаёт самостоятельного права, обязанности, ограничения или ответственности.</x:v>
      </x:c>
    </x:row>
    <x:row r="51" ht="31.950000762939453" customHeight="1">
      <x:c r="B51" s="96" t="n">
        <x:v>1.46</x:v>
      </x:c>
      <x:c r="C51" s="25" t="str">
        <x:v>Определение: «ТСТ»</x:v>
      </x:c>
      <x:c r="D51" s="41" t="str">
        <x:v>—</x:v>
      </x:c>
      <x:c r="E51" s="28" t="str">
        <x:v>ℹ️ Исключено</x:v>
      </x:c>
      <x:c r="F51" s="47" t="str">
        <x:v>—</x:v>
      </x:c>
      <x:c r="G51" s="25" t="str">
        <x:v>Глоссарий: определение не создаёт самостоятельного права, обязанности, ограничения или ответственности.</x:v>
      </x:c>
    </x:row>
    <x:row r="52" ht="31.950000762939453" customHeight="1">
      <x:c r="B52" s="96" t="n">
        <x:v>1.47</x:v>
      </x:c>
      <x:c r="C52" s="25" t="str">
        <x:v>Определение: «Торговый автомат»</x:v>
      </x:c>
      <x:c r="D52" s="41" t="str">
        <x:v>—</x:v>
      </x:c>
      <x:c r="E52" s="28" t="str">
        <x:v>ℹ️ Исключено</x:v>
      </x:c>
      <x:c r="F52" s="47" t="str">
        <x:v>—</x:v>
      </x:c>
      <x:c r="G52" s="25" t="str">
        <x:v>Глоссарий: определение не создаёт самостоятельного права, обязанности, ограничения или ответственности.</x:v>
      </x:c>
    </x:row>
    <x:row r="53" ht="31.950000762939453" customHeight="1">
      <x:c r="B53" s="96" t="n">
        <x:v>1.48</x:v>
      </x:c>
      <x:c r="C53" s="25" t="str">
        <x:v>Определение: «Торговый эквайринг»</x:v>
      </x:c>
      <x:c r="D53" s="41" t="str">
        <x:v>—</x:v>
      </x:c>
      <x:c r="E53" s="28" t="str">
        <x:v>ℹ️ Исключено</x:v>
      </x:c>
      <x:c r="F53" s="47" t="str">
        <x:v>—</x:v>
      </x:c>
      <x:c r="G53" s="25" t="str">
        <x:v>Глоссарий: определение не создаёт самостоятельного права, обязанности, ограничения или ответственности.</x:v>
      </x:c>
    </x:row>
    <x:row r="54" ht="31.950000762939453" customHeight="1">
      <x:c r="B54" s="96" t="n">
        <x:v>1.49</x:v>
      </x:c>
      <x:c r="C54" s="25" t="str">
        <x:v>Определение: «Транзакция»</x:v>
      </x:c>
      <x:c r="D54" s="41" t="str">
        <x:v>—</x:v>
      </x:c>
      <x:c r="E54" s="28" t="str">
        <x:v>ℹ️ Исключено</x:v>
      </x:c>
      <x:c r="F54" s="47" t="str">
        <x:v>—</x:v>
      </x:c>
      <x:c r="G54" s="25" t="str">
        <x:v>Глоссарий: определение не создаёт самостоятельного права, обязанности, ограничения или ответственности.</x:v>
      </x:c>
    </x:row>
    <x:row r="55" ht="31.950000762939453" customHeight="1">
      <x:c r="B55" s="35" t="str">
        <x:f>"1.50"</x:f>
        <x:v>1.50</x:v>
      </x:c>
      <x:c r="C55" s="25" t="str">
        <x:v>Определение: «Цена Договора»</x:v>
      </x:c>
      <x:c r="D55" s="41" t="str">
        <x:v>—</x:v>
      </x:c>
      <x:c r="E55" s="28" t="str">
        <x:v>ℹ️ Исключено</x:v>
      </x:c>
      <x:c r="F55" s="47" t="str">
        <x:v>—</x:v>
      </x:c>
      <x:c r="G55" s="25" t="str">
        <x:v>Глоссарий: определение не создаёт самостоятельного права, обязанности, ограничения или ответственности.</x:v>
      </x:c>
    </x:row>
    <x:row r="56" ht="31.950000762939453" customHeight="1">
      <x:c r="B56" s="96" t="n">
        <x:v>1.51</x:v>
      </x:c>
      <x:c r="C56" s="25" t="str">
        <x:v>Определение: «Чек электронного терминала»</x:v>
      </x:c>
      <x:c r="D56" s="41" t="str">
        <x:v>—</x:v>
      </x:c>
      <x:c r="E56" s="28" t="str">
        <x:v>ℹ️ Исключено</x:v>
      </x:c>
      <x:c r="F56" s="47" t="str">
        <x:v>—</x:v>
      </x:c>
      <x:c r="G56" s="25" t="str">
        <x:v>Глоссарий: определение не создаёт самостоятельного права, обязанности, ограничения или ответственности.</x:v>
      </x:c>
    </x:row>
    <x:row r="57" ht="31.950000762939453" customHeight="1">
      <x:c r="B57" s="96" t="n">
        <x:v>1.52</x:v>
      </x:c>
      <x:c r="C57" s="25" t="str">
        <x:v>Определение: «Электронная сверка итогов»</x:v>
      </x:c>
      <x:c r="D57" s="41" t="str">
        <x:v>—</x:v>
      </x:c>
      <x:c r="E57" s="28" t="str">
        <x:v>ℹ️ Исключено</x:v>
      </x:c>
      <x:c r="F57" s="47" t="str">
        <x:v>—</x:v>
      </x:c>
      <x:c r="G57" s="25" t="str">
        <x:v>Глоссарий: определение не создаёт самостоятельного права, обязанности, ограничения или ответственности.</x:v>
      </x:c>
    </x:row>
    <x:row r="58" ht="31.950000762939453" customHeight="1">
      <x:c r="B58" s="96" t="n">
        <x:v>1.53</x:v>
      </x:c>
      <x:c r="C58" s="25" t="str">
        <x:v>Определение: «Электронный терминал»</x:v>
      </x:c>
      <x:c r="D58" s="41" t="str">
        <x:v>—</x:v>
      </x:c>
      <x:c r="E58" s="28" t="str">
        <x:v>ℹ️ Исключено</x:v>
      </x:c>
      <x:c r="F58" s="47" t="str">
        <x:v>—</x:v>
      </x:c>
      <x:c r="G58" s="25" t="str">
        <x:v>Глоссарий: определение не создаёт самостоятельного права, обязанности, ограничения или ответственности.</x:v>
      </x:c>
    </x:row>
    <x:row r="59" ht="31.950000762939453" customHeight="1">
      <x:c r="B59" s="96" t="n">
        <x:v>1.54</x:v>
      </x:c>
      <x:c r="C59" s="25" t="str">
        <x:v>Определение: «_____ (SberPay Scan)»</x:v>
      </x:c>
      <x:c r="D59" s="41" t="str">
        <x:v>—</x:v>
      </x:c>
      <x:c r="E59" s="28" t="str">
        <x:v>ℹ️ Исключено</x:v>
      </x:c>
      <x:c r="F59" s="47" t="str">
        <x:v>—</x:v>
      </x:c>
      <x:c r="G59" s="25" t="str">
        <x:v>Глоссарий: определение не создаёт самостоятельного права, обязанности, ограничения или ответственности.</x:v>
      </x:c>
    </x:row>
    <x:row r="60" ht="31.950000762939453" customHeight="1">
      <x:c r="B60" s="96" t="n">
        <x:v>1.55</x:v>
      </x:c>
      <x:c r="C60" s="25" t="str">
        <x:v>Определение: «SMS-банк (Мобильный банк)»</x:v>
      </x:c>
      <x:c r="D60" s="41" t="str">
        <x:v>—</x:v>
      </x:c>
      <x:c r="E60" s="28" t="str">
        <x:v>ℹ️ Исключено</x:v>
      </x:c>
      <x:c r="F60" s="47" t="str">
        <x:v>—</x:v>
      </x:c>
      <x:c r="G60" s="25" t="str">
        <x:v>Глоссарий: определение не создаёт самостоятельного права, обязанности, ограничения или ответственности.</x:v>
      </x:c>
    </x:row>
    <x:row r="61" ht="31.950000762939453" customHeight="1">
      <x:c r="B61" s="96" t="n">
        <x:v>1.56</x:v>
      </x:c>
      <x:c r="C61" s="25" t="str">
        <x:v>Определение: «QR-код»</x:v>
      </x:c>
      <x:c r="D61" s="41" t="str">
        <x:v>—</x:v>
      </x:c>
      <x:c r="E61" s="28" t="str">
        <x:v>ℹ️ Исключено</x:v>
      </x:c>
      <x:c r="F61" s="47" t="str">
        <x:v>—</x:v>
      </x:c>
      <x:c r="G61" s="25" t="str">
        <x:v>Глоссарий: определение не создаёт самостоятельного права, обязанности, ограничения или ответственности.</x:v>
      </x:c>
    </x:row>
    <x:row r="62" ht="22.049999237060547" customHeight="1">
      <x:c r="B62" s="34" t="str">
        <x:v>РАЗДЕЛ 2. ОБЩИЕ ПОЛОЖЕНИЯ</x:v>
      </x:c>
      <x:c r="C62" s="20"/>
      <x:c r="D62" s="39"/>
      <x:c r="E62" s="20"/>
      <x:c r="F62" s="20"/>
      <x:c r="G62" s="20"/>
    </x:row>
    <x:row r="63" ht="31.950000762939453" customHeight="1">
      <x:c r="B63" s="97" t="n">
        <x:v>2.1</x:v>
      </x:c>
      <x:c r="C63" s="49" t="str">
        <x:v>Регистрация ТСТ; право Банка отказать без объяснений</x:v>
      </x:c>
      <x:c r="D63" s="105" t="n">
        <x:v>2.1</x:v>
      </x:c>
      <x:c r="E63" s="52" t="str">
        <x:v>✅ Соответствует</x:v>
      </x:c>
      <x:c r="F63" s="53" t="str">
        <x:v>да</x:v>
      </x:c>
      <x:c r="G63" s="49" t="str">
        <x:v>Формулировки идентичны.</x:v>
      </x:c>
    </x:row>
    <x:row r="64" ht="31.950000762939453" customHeight="1">
      <x:c r="B64" s="97" t="n">
        <x:v>2.2</x:v>
      </x:c>
      <x:c r="C64" s="49" t="str">
        <x:v>Расчёты в рублях РФ</x:v>
      </x:c>
      <x:c r="D64" s="105" t="n">
        <x:v>2.2</x:v>
      </x:c>
      <x:c r="E64" s="52" t="str">
        <x:v>✅ Соответствует</x:v>
      </x:c>
      <x:c r="F64" s="53" t="str">
        <x:v>да</x:v>
      </x:c>
      <x:c r="G64" s="49"/>
    </x:row>
    <x:row r="65" ht="31.950000762939453" customHeight="1">
      <x:c r="B65" s="97" t="n">
        <x:v>2.3</x:v>
      </x:c>
      <x:c r="C65" s="49" t="str">
        <x:v>Способы обмена документами (общий пункт)</x:v>
      </x:c>
      <x:c r="D65" s="105" t="n">
        <x:v>2.3</x:v>
      </x:c>
      <x:c r="E65" s="52" t="str">
        <x:v>✅ Соответствует</x:v>
      </x:c>
      <x:c r="F65" s="53" t="str">
        <x:v>да</x:v>
      </x:c>
      <x:c r="G65" s="49"/>
    </x:row>
    <x:row r="66" ht="31.950000762939453" customHeight="1">
      <x:c r="B66" s="48" t="str">
        <x:v>2.3.1</x:v>
      </x:c>
      <x:c r="C66" s="49" t="str">
        <x:v>Обмен по e-mail; полная юридическая сила</x:v>
      </x:c>
      <x:c r="D66" s="50" t="str">
        <x:v>2.3.1</x:v>
      </x:c>
      <x:c r="E66" s="52" t="str">
        <x:v>✅ Соответствует</x:v>
      </x:c>
      <x:c r="F66" s="53" t="str">
        <x:v>да</x:v>
      </x:c>
      <x:c r="G66" s="49"/>
    </x:row>
    <x:row r="67" ht="31.950000762939453" customHeight="1">
      <x:c r="B67" s="48" t="str">
        <x:v>2.3.2</x:v>
      </x:c>
      <x:c r="C67" s="49" t="str">
        <x:v>Обмен через систему ДБО</x:v>
      </x:c>
      <x:c r="D67" s="50" t="str">
        <x:v>2.3.2</x:v>
      </x:c>
      <x:c r="E67" s="52" t="str">
        <x:v>✅ Соответствует</x:v>
      </x:c>
      <x:c r="F67" s="53" t="str">
        <x:v>да</x:v>
      </x:c>
      <x:c r="G67" s="49"/>
    </x:row>
    <x:row r="68" ht="31.950000762939453" customHeight="1">
      <x:c r="B68" s="48" t="str">
        <x:v>2.3.3</x:v>
      </x:c>
      <x:c r="C68" s="49" t="str">
        <x:v>Доставка нарочным/курьером</x:v>
      </x:c>
      <x:c r="D68" s="50" t="str">
        <x:v>2.3.3</x:v>
      </x:c>
      <x:c r="E68" s="52" t="str">
        <x:v>✅ Соответствует</x:v>
      </x:c>
      <x:c r="F68" s="53" t="str">
        <x:v>нет</x:v>
      </x:c>
      <x:c r="G68" s="49"/>
    </x:row>
    <x:row r="69" ht="31.950000762939453" customHeight="1">
      <x:c r="B69" s="48" t="str">
        <x:v>2.3.4</x:v>
      </x:c>
      <x:c r="C69" s="49" t="str">
        <x:v>Заказное письмо</x:v>
      </x:c>
      <x:c r="D69" s="50" t="str">
        <x:v>2.3.4</x:v>
      </x:c>
      <x:c r="E69" s="52" t="str">
        <x:v>✅ Соответствует</x:v>
      </x:c>
      <x:c r="F69" s="53" t="str">
        <x:v>нет</x:v>
      </x:c>
      <x:c r="G69" s="49"/>
    </x:row>
    <x:row r="70" ht="31.950000762939453" customHeight="1">
      <x:c r="B70" s="48" t="str">
        <x:v>2.3.5</x:v>
      </x:c>
      <x:c r="C70" s="49" t="str">
        <x:v>ЭДО E-invoicing / СФЕРА-Курьер с УКЭП</x:v>
      </x:c>
      <x:c r="D70" s="50" t="str">
        <x:v>2.3.5</x:v>
      </x:c>
      <x:c r="E70" s="52" t="str">
        <x:v>✅ Соответствует</x:v>
      </x:c>
      <x:c r="F70" s="53" t="str">
        <x:v>да</x:v>
      </x:c>
      <x:c r="G70" s="49"/>
    </x:row>
    <x:row r="71" ht="36" hidden="0" customHeight="1">
      <x:c r="B71" s="54" t="str">
        <x:v>2.3.6</x:v>
      </x:c>
      <x:c r="C71" s="55" t="str">
        <x:v>Обмен через ЕИС (44-ФЗ)</x:v>
      </x:c>
      <x:c r="D71" s="59" t="str">
        <x:v>2.3.6, 2.3.7</x:v>
      </x:c>
      <x:c r="E71" s="58" t="str">
        <x:v>⚠️ Расхождение</x:v>
      </x:c>
      <x:c r="F71" s="60" t="str">
        <x:v>да</x:v>
      </x:c>
      <x:c r="G71" s="55" t="str">
        <x:v>Матрица 2.3.7 включает канал службы поддержки Банка 24/7 и моменты получения по всем каналам; договор 2.3.6 содержит моменты получения для пп. 2.3.1–2.3.6, но не канал поддержки и момент обращения в него.</x:v>
      </x:c>
    </x:row>
    <x:row r="72" ht="31.950000762939453" customHeight="1">
      <x:c r="B72" s="97" t="n">
        <x:v>2.4</x:v>
      </x:c>
      <x:c r="C72" s="49" t="str">
        <x:v>Документы на сайте Банка — неотъемлемая часть Договора</x:v>
      </x:c>
      <x:c r="D72" s="105" t="n">
        <x:v>2.4</x:v>
      </x:c>
      <x:c r="E72" s="52" t="str">
        <x:v>✅ Соответствует</x:v>
      </x:c>
      <x:c r="F72" s="53" t="str">
        <x:v>нет</x:v>
      </x:c>
      <x:c r="G72" s="49"/>
    </x:row>
    <x:row r="73" ht="45" customHeight="1">
      <x:c r="B73" s="98" t="n">
        <x:v>2.5</x:v>
      </x:c>
      <x:c r="C73" s="62" t="str">
        <x:v>Подключение _____ (SberPay) для ИЭ — единый тариф</x:v>
      </x:c>
      <x:c r="D73" s="63" t="str">
        <x:v>—</x:v>
      </x:c>
      <x:c r="E73" s="65" t="str">
        <x:v>❌ НЕТ аналога в матрице</x:v>
      </x:c>
      <x:c r="F73" s="66" t="str">
        <x:v>нет</x:v>
      </x:c>
      <x:c r="G73" s="62" t="str">
        <x:v>Пустое обозначение сервиса не подтверждает SberPay; прямой юридический аналог не установлен.</x:v>
      </x:c>
    </x:row>
    <x:row r="74" ht="31.950000762939453" customHeight="1">
      <x:c r="B74" s="97" t="n">
        <x:v>2.6</x:v>
      </x:c>
      <x:c r="C74" s="49" t="str">
        <x:v>Форма договора: бумажная или электронная (УКЭП)</x:v>
      </x:c>
      <x:c r="D74" s="105" t="n">
        <x:v>2.7</x:v>
      </x:c>
      <x:c r="E74" s="52" t="str">
        <x:v>✅ Соответствует</x:v>
      </x:c>
      <x:c r="F74" s="53" t="str">
        <x:v>нет</x:v>
      </x:c>
      <x:c r="G74" s="49" t="str">
        <x:v>Нумерация сдвинута: п. 2.6 договора =  п. 2.7.</x:v>
      </x:c>
    </x:row>
    <x:row r="75" ht="22.049999237060547" customHeight="1">
      <x:c r="B75" s="34" t="str">
        <x:v>РАЗДЕЛ 3. ПРЕДМЕТ ДОГОВОРА</x:v>
      </x:c>
      <x:c r="C75" s="20"/>
      <x:c r="D75" s="39"/>
      <x:c r="E75" s="20"/>
      <x:c r="F75" s="20"/>
      <x:c r="G75" s="20"/>
    </x:row>
    <x:row r="76" ht="31.950000762939453" customHeight="1">
      <x:c r="B76" s="97" t="n">
        <x:v>3.1</x:v>
      </x:c>
      <x:c r="C76" s="49" t="str">
        <x:v>Предприятие организует приём оплаты Картами/NFC/QR</x:v>
      </x:c>
      <x:c r="D76" s="105" t="n">
        <x:v>3.1</x:v>
      </x:c>
      <x:c r="E76" s="52" t="str">
        <x:v>✅ Соответствует</x:v>
      </x:c>
      <x:c r="F76" s="53" t="str">
        <x:v>нет</x:v>
      </x:c>
      <x:c r="G76" s="49"/>
    </x:row>
    <x:row r="77" ht="31.950000762939453" customHeight="1">
      <x:c r="B77" s="97" t="n">
        <x:v>3.2</x:v>
      </x:c>
      <x:c r="C77" s="49" t="str">
        <x:v>Банк перечисляет суммы Операций Предприятию</x:v>
      </x:c>
      <x:c r="D77" s="105" t="n">
        <x:v>3.2</x:v>
      </x:c>
      <x:c r="E77" s="52" t="str">
        <x:v>✅ Соответствует</x:v>
      </x:c>
      <x:c r="F77" s="53" t="str">
        <x:v>нет</x:v>
      </x:c>
      <x:c r="G77" s="49"/>
    </x:row>
    <x:row r="78" ht="24" hidden="0" customHeight="1">
      <x:c r="B78" s="97" t="n">
        <x:v>3.3</x:v>
      </x:c>
      <x:c r="C78" s="49" t="str">
        <x:v>Предприятие ежемесячно уплачивает плату Банку (тарифы + сервис)</x:v>
      </x:c>
      <x:c r="D78" s="50" t="str">
        <x:v>3.3, 6.7</x:v>
      </x:c>
      <x:c r="E78" s="52" t="str">
        <x:v>✅ Соответствует</x:v>
      </x:c>
      <x:c r="F78" s="53" t="str">
        <x:v>да</x:v>
      </x:c>
      <x:c r="G78" s="49" t="str">
        <x:v>Плата за расчёты покрыта п. 3.3 матрицы; плата за сервисное обслуживание ЭТ — п. 6.7. Пустой размер тарифа не сравнивается.</x:v>
      </x:c>
    </x:row>
    <x:row r="79" ht="22.049999237060547" customHeight="1">
      <x:c r="B79" s="34" t="str">
        <x:v>РАЗДЕЛ 4. ПРАВА И ОБЯЗАННОСТИ ПРЕДПРИЯТИЯ</x:v>
      </x:c>
      <x:c r="C79" s="20"/>
      <x:c r="D79" s="39"/>
      <x:c r="E79" s="20"/>
      <x:c r="F79" s="20"/>
      <x:c r="G79" s="20"/>
    </x:row>
    <x:row r="80" ht="31.950000762939453" customHeight="1">
      <x:c r="B80" s="48" t="str">
        <x:v>4.1.1</x:v>
      </x:c>
      <x:c r="C80" s="49" t="str">
        <x:v>Право ссылаться на приём Карт/QR (после согласования с Банком)</x:v>
      </x:c>
      <x:c r="D80" s="50" t="str">
        <x:v>4.1.1</x:v>
      </x:c>
      <x:c r="E80" s="52" t="str">
        <x:v>✅ Соответствует</x:v>
      </x:c>
      <x:c r="F80" s="53" t="str">
        <x:v>нет</x:v>
      </x:c>
      <x:c r="G80" s="49"/>
    </x:row>
    <x:row r="81" ht="31.950000762939453" customHeight="1">
      <x:c r="B81" s="48" t="str">
        <x:v>4.1.2</x:v>
      </x:c>
      <x:c r="C81" s="49" t="str">
        <x:v>Право на консультацию по эксплуатации ЭТ</x:v>
      </x:c>
      <x:c r="D81" s="50" t="str">
        <x:v>4.1.2</x:v>
      </x:c>
      <x:c r="E81" s="52" t="str">
        <x:v>✅ Соответствует</x:v>
      </x:c>
      <x:c r="F81" s="53" t="str">
        <x:v>нет</x:v>
      </x:c>
      <x:c r="G81" s="49"/>
    </x:row>
    <x:row r="82" ht="45" customHeight="1">
      <x:c r="B82" s="48" t="str">
        <x:v>4.1.3</x:v>
      </x:c>
      <x:c r="C82" s="49" t="str">
        <x:v>Право использовать QR-коды на устройствах Предприятия</x:v>
      </x:c>
      <x:c r="D82" s="50" t="str">
        <x:v>4.1.3</x:v>
      </x:c>
      <x:c r="E82" s="52" t="str">
        <x:v>✅ Соответствует</x:v>
      </x:c>
      <x:c r="F82" s="53" t="str">
        <x:v>нет</x:v>
      </x:c>
      <x:c r="G82" s="49" t="str">
        <x:v>Договор: QR (без SberPayQR). Матрица: SberPayQR/Плати QR. Смысловое соответствие.</x:v>
      </x:c>
    </x:row>
    <x:row r="83" ht="31.950000762939453" customHeight="1">
      <x:c r="B83" s="48" t="str">
        <x:v>4.2.1</x:v>
      </x:c>
      <x:c r="C83" s="49" t="str">
        <x:v>Оплачивать услуги Банка (тарифы, сервисное обслуживание)</x:v>
      </x:c>
      <x:c r="D83" s="50" t="str">
        <x:v>4.2.1</x:v>
      </x:c>
      <x:c r="E83" s="52" t="str">
        <x:v>✅ Соответствует</x:v>
      </x:c>
      <x:c r="F83" s="53" t="str">
        <x:v>да</x:v>
      </x:c>
      <x:c r="G83" s="49"/>
    </x:row>
    <x:row r="84" ht="31.950000762939453" customHeight="1">
      <x:c r="B84" s="48" t="str">
        <x:v>4.2.2</x:v>
      </x:c>
      <x:c r="C84" s="49" t="str">
        <x:v>Соблюдать Договор и инструктивные материалы</x:v>
      </x:c>
      <x:c r="D84" s="50" t="str">
        <x:v>4.2.2</x:v>
      </x:c>
      <x:c r="E84" s="52" t="str">
        <x:v>✅ Соответствует</x:v>
      </x:c>
      <x:c r="F84" s="53" t="str">
        <x:v>нет</x:v>
      </x:c>
      <x:c r="G84" s="49"/>
    </x:row>
    <x:row r="85" ht="31.950000762939453" customHeight="1">
      <x:c r="B85" s="48" t="str">
        <x:v>4.2.3</x:v>
      </x:c>
      <x:c r="C85" s="49" t="str">
        <x:v>Следить за изменениями документов на сайте Банка</x:v>
      </x:c>
      <x:c r="D85" s="50" t="str">
        <x:v>4.2.3</x:v>
      </x:c>
      <x:c r="E85" s="52" t="str">
        <x:v>✅ Соответствует</x:v>
      </x:c>
      <x:c r="F85" s="53" t="str">
        <x:v>нет</x:v>
      </x:c>
      <x:c r="G85" s="49"/>
    </x:row>
    <x:row r="86" ht="31.950000762939453" customHeight="1">
      <x:c r="B86" s="48" t="str">
        <x:v>4.2.4</x:v>
      </x:c>
      <x:c r="C86" s="49" t="str">
        <x:v>Размещать информационные материалы Банка в ТСТ/на Ресурсе</x:v>
      </x:c>
      <x:c r="D86" s="50" t="str">
        <x:v>4.2.4</x:v>
      </x:c>
      <x:c r="E86" s="52" t="str">
        <x:v>✅ Соответствует</x:v>
      </x:c>
      <x:c r="F86" s="53" t="str">
        <x:v>нет</x:v>
      </x:c>
      <x:c r="G86" s="49"/>
    </x:row>
    <x:row r="87" ht="31.950000762939453" customHeight="1">
      <x:c r="B87" s="48" t="str">
        <x:v>4.2.5</x:v>
      </x:c>
      <x:c r="C87" s="49" t="str">
        <x:v>Принимать все Карты; не выдавать наличные; не более 2 разных Карт</x:v>
      </x:c>
      <x:c r="D87" s="50" t="str">
        <x:v>4.2.5</x:v>
      </x:c>
      <x:c r="E87" s="52" t="str">
        <x:v>✅ Соответствует</x:v>
      </x:c>
      <x:c r="F87" s="53" t="str">
        <x:v>да</x:v>
      </x:c>
      <x:c r="G87" s="49" t="str">
        <x:v>Правила ПС МИР п. 8.1.</x:v>
      </x:c>
    </x:row>
    <x:row r="88" ht="31.950000762939453" customHeight="1">
      <x:c r="B88" s="48" t="str">
        <x:v>4.2.6</x:v>
      </x:c>
      <x:c r="C88" s="49" t="str">
        <x:v>Не дробить сумму Операции</x:v>
      </x:c>
      <x:c r="D88" s="50" t="str">
        <x:v>4.2.6</x:v>
      </x:c>
      <x:c r="E88" s="52" t="str">
        <x:v>✅ Соответствует</x:v>
      </x:c>
      <x:c r="F88" s="53" t="str">
        <x:v>да</x:v>
      </x:c>
      <x:c r="G88" s="49"/>
    </x:row>
    <x:row r="89" ht="31.950000762939453" customHeight="1">
      <x:c r="B89" s="48" t="str">
        <x:v>4.2.7</x:v>
      </x:c>
      <x:c r="C89" s="49" t="str">
        <x:v>Не использовать реквизиты Карты вне целей Операций</x:v>
      </x:c>
      <x:c r="D89" s="50" t="str">
        <x:v>4.2.7</x:v>
      </x:c>
      <x:c r="E89" s="52" t="str">
        <x:v>✅ Соответствует</x:v>
      </x:c>
      <x:c r="F89" s="53" t="str">
        <x:v>да</x:v>
      </x:c>
      <x:c r="G89" s="49"/>
    </x:row>
    <x:row r="90" ht="31.950000762939453" customHeight="1">
      <x:c r="B90" s="48" t="str">
        <x:v>4.2.8</x:v>
      </x:c>
      <x:c r="C90" s="49" t="str">
        <x:v>Цена товара не зависит от способа оплаты</x:v>
      </x:c>
      <x:c r="D90" s="50" t="str">
        <x:v>4.2.8</x:v>
      </x:c>
      <x:c r="E90" s="52" t="str">
        <x:v>✅ Соответствует</x:v>
      </x:c>
      <x:c r="F90" s="53" t="str">
        <x:v>да</x:v>
      </x:c>
      <x:c r="G90" s="49" t="str">
        <x:v>Правила ПС МИР п. 8.7.</x:v>
      </x:c>
    </x:row>
    <x:row r="91" ht="31.950000762939453" customHeight="1">
      <x:c r="B91" s="48" t="str">
        <x:v>4.2.9</x:v>
      </x:c>
      <x:c r="C91" s="49" t="str">
        <x:v>Проводить Операции по Порядку; ответственность за документы</x:v>
      </x:c>
      <x:c r="D91" s="50" t="str">
        <x:v>4.2.9</x:v>
      </x:c>
      <x:c r="E91" s="52" t="str">
        <x:v>✅ Соответствует</x:v>
      </x:c>
      <x:c r="F91" s="53" t="str">
        <x:v>да</x:v>
      </x:c>
      <x:c r="G91" s="49"/>
    </x:row>
    <x:row r="92" ht="36" hidden="0" customHeight="1">
      <x:c r="B92" s="54" t="str">
        <x:v>4.2.10</x:v>
      </x:c>
      <x:c r="C92" s="55" t="str">
        <x:v>Хранить документы 13 мес.; передавать в Банк за 3 р.д. по запросу</x:v>
      </x:c>
      <x:c r="D92" s="59" t="str">
        <x:v>4.2.10</x:v>
      </x:c>
      <x:c r="E92" s="58" t="str">
        <x:v>⚠️ Расхождение</x:v>
      </x:c>
      <x:c r="F92" s="60" t="str">
        <x:v>да</x:v>
      </x:c>
      <x:c r="G92" s="55" t="str">
        <x:v>Матрица дополнительно требует направлять ответ на первоначальный запрос по электронным каналам пп. 2.3.1/2.3.2; договор способ передачи копий не устанавливает.</x:v>
      </x:c>
    </x:row>
    <x:row r="93" ht="31.950000762939453" customHeight="1">
      <x:c r="B93" s="48" t="str">
        <x:v>4.2.11</x:v>
      </x:c>
      <x:c r="C93" s="49" t="str">
        <x:v>Передавать заявление об обстоятельствах Операции (3 р.д.)</x:v>
      </x:c>
      <x:c r="D93" s="50" t="str">
        <x:v>4.2.11</x:v>
      </x:c>
      <x:c r="E93" s="52" t="str">
        <x:v>✅ Соответствует</x:v>
      </x:c>
      <x:c r="F93" s="53" t="str">
        <x:v>да</x:v>
      </x:c>
      <x:c r="G93" s="49"/>
    </x:row>
    <x:row r="94" ht="31.950000762939453" customHeight="1">
      <x:c r="B94" s="48" t="str">
        <x:v>4.2.12</x:v>
      </x:c>
      <x:c r="C94" s="49" t="str">
        <x:v>Акцептовать платёжные требования/счета в 5 р.д.</x:v>
      </x:c>
      <x:c r="D94" s="50" t="str">
        <x:v>4.2.12</x:v>
      </x:c>
      <x:c r="E94" s="52" t="str">
        <x:v>✅ Соответствует</x:v>
      </x:c>
      <x:c r="F94" s="53" t="str">
        <x:v>нет</x:v>
      </x:c>
      <x:c r="G94" s="49"/>
    </x:row>
    <x:row r="95" ht="31.950000762939453" customHeight="1">
      <x:c r="B95" s="48" t="str">
        <x:v>4.2.13</x:v>
      </x:c>
      <x:c r="C95" s="49" t="str">
        <x:v>Возместить Банку суммы по спорным/недействительным Операциям</x:v>
      </x:c>
      <x:c r="D95" s="50" t="str">
        <x:v>4.2.13</x:v>
      </x:c>
      <x:c r="E95" s="52" t="str">
        <x:v>✅ Соответствует</x:v>
      </x:c>
      <x:c r="F95" s="53" t="str">
        <x:v>да</x:v>
      </x:c>
      <x:c r="G95" s="49"/>
    </x:row>
    <x:row r="96" ht="31.950000762939453" customHeight="1">
      <x:c r="B96" s="48" t="str">
        <x:v>4.2.14</x:v>
      </x:c>
      <x:c r="C96" s="49" t="str">
        <x:v>Уведомить Банк об изменениях (реорганизация, адрес, реквизиты) за 3 р.д.</x:v>
      </x:c>
      <x:c r="D96" s="50" t="str">
        <x:v>4.2.14</x:v>
      </x:c>
      <x:c r="E96" s="52" t="str">
        <x:v>✅ Соответствует</x:v>
      </x:c>
      <x:c r="F96" s="53" t="str">
        <x:v>да</x:v>
      </x:c>
      <x:c r="G96" s="49"/>
    </x:row>
    <x:row r="97" ht="31.950000762939453" customHeight="1">
      <x:c r="B97" s="48" t="str">
        <x:v>4.2.15</x:v>
      </x:c>
      <x:c r="C97" s="49" t="str">
        <x:v>Предоставлять достоверные сведения (115-ФЗ); обновлять 1 раз в год</x:v>
      </x:c>
      <x:c r="D97" s="50" t="str">
        <x:v>4.2.15</x:v>
      </x:c>
      <x:c r="E97" s="52" t="str">
        <x:v>✅ Соответствует</x:v>
      </x:c>
      <x:c r="F97" s="53" t="str">
        <x:v>да</x:v>
      </x:c>
      <x:c r="G97" s="49"/>
    </x:row>
    <x:row r="98" ht="60" hidden="0" customHeight="1">
      <x:c r="B98" s="54" t="str">
        <x:v>4.2.16</x:v>
      </x:c>
      <x:c r="C98" s="55" t="str">
        <x:v>ПДн руководителя + гарантия правовых оснований + передача в МЕЖДУНАРОДные ПС + 3 р.д. подтверждение</x:v>
      </x:c>
      <x:c r="D98" s="59" t="str">
        <x:v>4.2.16, 4.2.16.1, 4.2.16.3</x:v>
      </x:c>
      <x:c r="E98" s="58" t="str">
        <x:v>⚠️ Расхождение</x:v>
      </x:c>
      <x:c r="F98" s="60" t="str">
        <x:v>да</x:v>
      </x:c>
      <x:c r="G98" s="55" t="str">
        <x:v>Матрица 4.2.16.1: передача ПДн руководителя только в ПС «МИР» и уведомление о прекращении правовых оснований; договор 4.2.16: трансграничная передача также в MasterCard, Visa, UnionPay, JCB и American Express и уведомление лишь об отзыве согласия. П. 4.2.16.2 отдельно отсутствует.</x:v>
      </x:c>
    </x:row>
    <x:row r="99" ht="31.950000762939453" customHeight="1">
      <x:c r="B99" s="48" t="str">
        <x:v>4.2.17</x:v>
      </x:c>
      <x:c r="C99" s="49" t="str">
        <x:v>Соблюдение PCI DSS; аттестат/SAQ по запросу Банка</x:v>
      </x:c>
      <x:c r="D99" s="50" t="str">
        <x:v>4.2.17</x:v>
      </x:c>
      <x:c r="E99" s="52" t="str">
        <x:v>✅ Соответствует</x:v>
      </x:c>
      <x:c r="F99" s="53" t="str">
        <x:v>да</x:v>
      </x:c>
      <x:c r="G99" s="49"/>
    </x:row>
    <x:row r="100" ht="31.950000762939453" customHeight="1">
      <x:c r="B100" s="48" t="str">
        <x:v>4.2.18</x:v>
      </x:c>
      <x:c r="C100" s="49" t="str">
        <x:v>После расторжения — прекратить приём Карт, снять материалы</x:v>
      </x:c>
      <x:c r="D100" s="50" t="str">
        <x:v>4.2.18</x:v>
      </x:c>
      <x:c r="E100" s="52" t="str">
        <x:v>✅ Соответствует</x:v>
      </x:c>
      <x:c r="F100" s="53" t="str">
        <x:v>да</x:v>
      </x:c>
      <x:c r="G100" s="49"/>
    </x:row>
    <x:row r="101" ht="31.950000762939453" customHeight="1">
      <x:c r="B101" s="48" t="str">
        <x:v>4.2.19</x:v>
      </x:c>
      <x:c r="C101" s="49" t="str">
        <x:v>Не препятствовать проверкам Банка; содействовать расследованию</x:v>
      </x:c>
      <x:c r="D101" s="50" t="str">
        <x:v>4.2.19</x:v>
      </x:c>
      <x:c r="E101" s="52" t="str">
        <x:v>✅ Соответствует</x:v>
      </x:c>
      <x:c r="F101" s="53" t="str">
        <x:v>да</x:v>
      </x:c>
      <x:c r="G101" s="49"/>
    </x:row>
    <x:row r="102" ht="24" hidden="0" customHeight="1">
      <x:c r="B102" s="35" t="str">
        <x:v>4.2.20</x:v>
      </x:c>
      <x:c r="C102" s="25" t="str">
        <x:v>Раздел: Торговый эквайринг (вводный)</x:v>
      </x:c>
      <x:c r="D102" s="41" t="str">
        <x:v>4.2.20</x:v>
      </x:c>
      <x:c r="E102" s="28" t="str">
        <x:v>ℹ️ Исключено</x:v>
      </x:c>
      <x:c r="F102" s="47" t="str">
        <x:v>—</x:v>
      </x:c>
      <x:c r="G102" s="25" t="str">
        <x:v>Структурная вводная строка: required_type=null; самостоятельного требования не создаёт.</x:v>
      </x:c>
    </x:row>
    <x:row r="103" ht="31.950000762939453" customHeight="1">
      <x:c r="B103" s="48" t="str">
        <x:v>4.2.20.1</x:v>
      </x:c>
      <x:c r="C103" s="49" t="str">
        <x:v>Инструктаж сотрудников (ссылка на сайт Банка)</x:v>
      </x:c>
      <x:c r="D103" s="50" t="str">
        <x:v>4.2.20.1</x:v>
      </x:c>
      <x:c r="E103" s="52" t="str">
        <x:v>✅ Соответствует</x:v>
      </x:c>
      <x:c r="F103" s="53" t="str">
        <x:v>да</x:v>
      </x:c>
      <x:c r="G103" s="49"/>
    </x:row>
    <x:row r="104" ht="31.950000762939453" customHeight="1">
      <x:c r="B104" s="48" t="str">
        <x:v>4.2.20.2</x:v>
      </x:c>
      <x:c r="C104" s="49" t="str">
        <x:v>Использовать ЭТ только для целей Договора; не ремонтировать; не передавать 3-м лицам</x:v>
      </x:c>
      <x:c r="D104" s="50" t="str">
        <x:v>4.2.20.2</x:v>
      </x:c>
      <x:c r="E104" s="52" t="str">
        <x:v>✅ Соответствует</x:v>
      </x:c>
      <x:c r="F104" s="53" t="str">
        <x:v>да</x:v>
      </x:c>
      <x:c r="G104" s="49" t="str">
        <x:v>Смысловое соответствие. В договоре только ЭТ; в матрице ЭТ+Смарт.</x:v>
      </x:c>
    </x:row>
    <x:row r="105" ht="31.950000762939453" customHeight="1">
      <x:c r="B105" s="48" t="str">
        <x:v>4.2.20.3</x:v>
      </x:c>
      <x:c r="C105" s="49" t="str">
        <x:v>Обеспечить доступ Обслуживающей компании к местам установки ЭТ</x:v>
      </x:c>
      <x:c r="D105" s="50" t="str">
        <x:v>4.2.20.3</x:v>
      </x:c>
      <x:c r="E105" s="52" t="str">
        <x:v>✅ Соответствует</x:v>
      </x:c>
      <x:c r="F105" s="53" t="str">
        <x:v>да</x:v>
      </x:c>
      <x:c r="G105" s="49"/>
    </x:row>
    <x:row r="106" ht="31.950000762939453" customHeight="1">
      <x:c r="B106" s="48" t="str">
        <x:v>4.2.20.4</x:v>
      </x:c>
      <x:c r="C106" s="49" t="str">
        <x:v>Принять ЭТ по акту приёма (2 экз.)</x:v>
      </x:c>
      <x:c r="D106" s="50" t="str">
        <x:v>4.2.20.4</x:v>
      </x:c>
      <x:c r="E106" s="52" t="str">
        <x:v>✅ Соответствует</x:v>
      </x:c>
      <x:c r="F106" s="53" t="str">
        <x:v>да</x:v>
      </x:c>
      <x:c r="G106" s="49"/>
    </x:row>
    <x:row r="107" ht="31.950000762939453" customHeight="1">
      <x:c r="B107" s="48" t="str">
        <x:v>4.2.20.5</x:v>
      </x:c>
      <x:c r="C107" s="49" t="str">
        <x:v>Немедленно уведомить Банк о поломке/утрате ЭТ</x:v>
      </x:c>
      <x:c r="D107" s="50" t="str">
        <x:v>4.2.20.5</x:v>
      </x:c>
      <x:c r="E107" s="52" t="str">
        <x:v>✅ Соответствует</x:v>
      </x:c>
      <x:c r="F107" s="53" t="str">
        <x:v>да</x:v>
      </x:c>
      <x:c r="G107" s="49"/>
    </x:row>
    <x:row r="108" ht="31.950000762939453" customHeight="1">
      <x:c r="B108" s="48" t="str">
        <x:v>4.2.20.6</x:v>
      </x:c>
      <x:c r="C108" s="49" t="str">
        <x:v>Вернуть ЭТ в 5 р.д. с расторжения/по требованию</x:v>
      </x:c>
      <x:c r="D108" s="50" t="str">
        <x:v>4.2.20.6</x:v>
      </x:c>
      <x:c r="E108" s="52" t="str">
        <x:v>✅ Соответствует</x:v>
      </x:c>
      <x:c r="F108" s="53" t="str">
        <x:v>да</x:v>
      </x:c>
      <x:c r="G108" s="49"/>
    </x:row>
    <x:row r="109" ht="24" hidden="0" customHeight="1">
      <x:c r="B109" s="54" t="str">
        <x:v>4.2.20.7</x:v>
      </x:c>
      <x:c r="C109" s="55" t="str">
        <x:v>ШТРАФ за невозврат ЭТ: 10 000 руб. (с НДС) за каждый</x:v>
      </x:c>
      <x:c r="D109" s="59" t="str">
        <x:v>4.2.20.7</x:v>
      </x:c>
      <x:c r="E109" s="58" t="str">
        <x:v>⚠️ Расхождение</x:v>
      </x:c>
      <x:c r="F109" s="60" t="str">
        <x:v>да</x:v>
      </x:c>
      <x:c r="G109" s="55" t="str">
        <x:v>Матрица: штраф 25 000 руб. за каждый невозвращённый терминал; договор: 10 000 руб.</x:v>
      </x:c>
    </x:row>
    <x:row r="110" ht="36" hidden="0" customHeight="1">
      <x:c r="B110" s="54" t="str">
        <x:v>4.2.20.8</x:v>
      </x:c>
      <x:c r="C110" s="55" t="str">
        <x:v>Установить Мобильное приложение на устройство Предприятия (mPOS)</x:v>
      </x:c>
      <x:c r="D110" s="59" t="str">
        <x:v>4.2.20.2</x:v>
      </x:c>
      <x:c r="E110" s="58" t="str">
        <x:v>⚠️ Расхождение</x:v>
      </x:c>
      <x:c r="F110" s="60" t="str">
        <x:v>да</x:v>
      </x:c>
      <x:c r="G110" s="55" t="str">
        <x:v>Матрица 4.2.20.2 требует использовать ПО Банка только для Договора; договор сохраняет это ограничение для мобильного приложения, но дополнительно возлагает на Предприятие его установку.</x:v>
      </x:c>
    </x:row>
    <x:row r="111" ht="24" hidden="0" customHeight="1">
      <x:c r="B111" s="35" t="str">
        <x:v>4.2.21</x:v>
      </x:c>
      <x:c r="C111" s="25" t="str">
        <x:v>Раздел: Интернет-эквайринг (вводный)</x:v>
      </x:c>
      <x:c r="D111" s="41" t="str">
        <x:v>4.2.21</x:v>
      </x:c>
      <x:c r="E111" s="28" t="str">
        <x:v>ℹ️ Исключено</x:v>
      </x:c>
      <x:c r="F111" s="47" t="str">
        <x:v>—</x:v>
      </x:c>
      <x:c r="G111" s="25" t="str">
        <x:v>Структурная вводная строка: required_type=null; самостоятельного требования не создаёт.</x:v>
      </x:c>
    </x:row>
    <x:row r="112" ht="31.950000762939453" customHeight="1">
      <x:c r="B112" s="48" t="str">
        <x:v>4.2.21.1</x:v>
      </x:c>
      <x:c r="C112" s="49" t="str">
        <x:v>Начать Операции на Ресурсе только после тестирования</x:v>
      </x:c>
      <x:c r="D112" s="50" t="str">
        <x:v>4.2.21.1</x:v>
      </x:c>
      <x:c r="E112" s="52" t="str">
        <x:v>✅ Соответствует</x:v>
      </x:c>
      <x:c r="F112" s="53" t="str">
        <x:v>да</x:v>
      </x:c>
      <x:c r="G112" s="49"/>
    </x:row>
    <x:row r="113" ht="31.950000762939453" customHeight="1">
      <x:c r="B113" s="48" t="str">
        <x:v>4.2.21.2</x:v>
      </x:c>
      <x:c r="C113" s="49" t="str">
        <x:v>Соответствовать Требованиям Банка к Ресурсу</x:v>
      </x:c>
      <x:c r="D113" s="50" t="str">
        <x:v>4.2.21.2</x:v>
      </x:c>
      <x:c r="E113" s="52" t="str">
        <x:v>✅ Соответствует</x:v>
      </x:c>
      <x:c r="F113" s="53" t="str">
        <x:v>да</x:v>
      </x:c>
      <x:c r="G113" s="49"/>
    </x:row>
    <x:row r="114" ht="31.950000762939453" customHeight="1">
      <x:c r="B114" s="48" t="str">
        <x:v>4.2.21.3</x:v>
      </x:c>
      <x:c r="C114" s="49" t="str">
        <x:v>Подтверждать предавторизацию через СПЭП в 5 кал. дней</x:v>
      </x:c>
      <x:c r="D114" s="50" t="str">
        <x:v>4.2.21.3</x:v>
      </x:c>
      <x:c r="E114" s="52" t="str">
        <x:v>✅ Соответствует</x:v>
      </x:c>
      <x:c r="F114" s="53" t="str">
        <x:v>да</x:v>
      </x:c>
      <x:c r="G114" s="49"/>
    </x:row>
    <x:row r="115" ht="31.950000762939453" customHeight="1">
      <x:c r="B115" s="48" t="str">
        <x:v>4.2.21.4</x:v>
      </x:c>
      <x:c r="C115" s="49" t="str">
        <x:v>Согласовывать дизайн Платёжной страницы с Банком</x:v>
      </x:c>
      <x:c r="D115" s="50" t="str">
        <x:v>4.2.21.4</x:v>
      </x:c>
      <x:c r="E115" s="52" t="str">
        <x:v>✅ Соответствует</x:v>
      </x:c>
      <x:c r="F115" s="53" t="str">
        <x:v>да</x:v>
      </x:c>
      <x:c r="G115" s="49"/>
    </x:row>
    <x:row r="116" ht="31.950000762939453" customHeight="1">
      <x:c r="B116" s="48" t="str">
        <x:v>4.2.21.5</x:v>
      </x:c>
      <x:c r="C116" s="49" t="str">
        <x:v>Интеграция Ресурса со СПЭП; тесты в 30 кал. дней</x:v>
      </x:c>
      <x:c r="D116" s="50" t="str">
        <x:v>4.2.21.5</x:v>
      </x:c>
      <x:c r="E116" s="52" t="str">
        <x:v>✅ Соответствует</x:v>
      </x:c>
      <x:c r="F116" s="53" t="str">
        <x:v>да</x:v>
      </x:c>
      <x:c r="G116" s="49"/>
    </x:row>
    <x:row r="117" ht="31.950000762939453" customHeight="1">
      <x:c r="B117" s="48" t="str">
        <x:v>4.2.21.6</x:v>
      </x:c>
      <x:c r="C117" s="49" t="str">
        <x:v>Самостоятельно обеспечивать безопасность ИТ-ресурсов в интернете</x:v>
      </x:c>
      <x:c r="D117" s="50" t="str">
        <x:v>4.2.21.6</x:v>
      </x:c>
      <x:c r="E117" s="52" t="str">
        <x:v>✅ Соответствует</x:v>
      </x:c>
      <x:c r="F117" s="53" t="str">
        <x:v>да</x:v>
      </x:c>
      <x:c r="G117" s="49"/>
    </x:row>
    <x:row r="118" ht="31.950000762939453" customHeight="1">
      <x:c r="B118" s="48" t="str">
        <x:v>4.2.21.7</x:v>
      </x:c>
      <x:c r="C118" s="49" t="str">
        <x:v>Предоставить Банку доступ к закрытым разделам Ресурса (VIP, оптовый)</x:v>
      </x:c>
      <x:c r="D118" s="50" t="str">
        <x:v>4.2.21.7</x:v>
      </x:c>
      <x:c r="E118" s="52" t="str">
        <x:v>✅ Соответствует</x:v>
      </x:c>
      <x:c r="F118" s="53" t="str">
        <x:v>да</x:v>
      </x:c>
      <x:c r="G118" s="49"/>
    </x:row>
    <x:row r="119" ht="31.950000762939453" customHeight="1">
      <x:c r="B119" s="48" t="str">
        <x:v>4.2.21.8</x:v>
      </x:c>
      <x:c r="C119" s="49" t="str">
        <x:v>Соблюдать правила Личного кабинета ИЭ</x:v>
      </x:c>
      <x:c r="D119" s="50" t="str">
        <x:v>4.2.21.8</x:v>
      </x:c>
      <x:c r="E119" s="52" t="str">
        <x:v>✅ Соответствует</x:v>
      </x:c>
      <x:c r="F119" s="53" t="str">
        <x:v>да</x:v>
      </x:c>
      <x:c r="G119" s="49"/>
    </x:row>
    <x:row r="120" ht="31.950000762939453" customHeight="1">
      <x:c r="B120" s="48" t="str">
        <x:v>4.2.22</x:v>
      </x:c>
      <x:c r="C120" s="49" t="str">
        <x:v>Предоставить Покупателю QR-код для Операции</x:v>
      </x:c>
      <x:c r="D120" s="50" t="str">
        <x:v>4.2.22</x:v>
      </x:c>
      <x:c r="E120" s="52" t="str">
        <x:v>✅ Соответствует</x:v>
      </x:c>
      <x:c r="F120" s="53" t="str">
        <x:v>нет</x:v>
      </x:c>
      <x:c r="G120" s="49"/>
    </x:row>
    <x:row r="121" ht="31.950000762939453" customHeight="1">
      <x:c r="B121" s="48" t="str">
        <x:v>4.2.23</x:v>
      </x:c>
      <x:c r="C121" s="49" t="str">
        <x:v>Не изменять QR-код партнёра в одностороннем порядке</x:v>
      </x:c>
      <x:c r="D121" s="50" t="str">
        <x:v>4.2.23</x:v>
      </x:c>
      <x:c r="E121" s="52" t="str">
        <x:v>✅ Соответствует</x:v>
      </x:c>
      <x:c r="F121" s="53" t="str">
        <x:v>нет</x:v>
      </x:c>
      <x:c r="G121" s="49"/>
    </x:row>
    <x:row r="122" ht="24" hidden="0" customHeight="1">
      <x:c r="B122" s="48" t="str">
        <x:v>4.2.24</x:v>
      </x:c>
      <x:c r="C122" s="49" t="str">
        <x:v>Повторяющиеся платежи: соглашение/оферта, согласие держателя, отмена и прекращение</x:v>
      </x:c>
      <x:c r="D122" s="50" t="str">
        <x:v>4.2.26</x:v>
      </x:c>
      <x:c r="E122" s="52" t="str">
        <x:v>✅ Соответствует</x:v>
      </x:c>
      <x:c r="F122" s="53" t="str">
        <x:v>да</x:v>
      </x:c>
      <x:c r="G122" s="49" t="str">
        <x:v>Нумерация различается из-за вставленных в матрицу пп. 4.2.24–4.2.25 о QR-API; юридическое содержание совпадает.</x:v>
      </x:c>
    </x:row>
    <x:row r="123" ht="22.049999237060547" customHeight="1">
      <x:c r="B123" s="34" t="str">
        <x:v>РАЗДЕЛ 5. ПРАВА И ОБЯЗАННОСТИ БАНКА</x:v>
      </x:c>
      <x:c r="C123" s="20"/>
      <x:c r="D123" s="39"/>
      <x:c r="E123" s="20"/>
      <x:c r="F123" s="20"/>
      <x:c r="G123" s="20"/>
    </x:row>
    <x:row r="124" ht="31.950000762939453" customHeight="1">
      <x:c r="B124" s="48" t="str">
        <x:v>5.1.1</x:v>
      </x:c>
      <x:c r="C124" s="49" t="str">
        <x:v>Право Банка удерживать суммы (общий)</x:v>
      </x:c>
      <x:c r="D124" s="50" t="str">
        <x:v>5.1.1</x:v>
      </x:c>
      <x:c r="E124" s="52" t="str">
        <x:v>✅ Соответствует</x:v>
      </x:c>
      <x:c r="F124" s="53" t="str">
        <x:v>да</x:v>
      </x:c>
      <x:c r="G124" s="49"/>
    </x:row>
    <x:row r="125" ht="31.950000762939453" customHeight="1">
      <x:c r="B125" s="48" t="str">
        <x:v>5.1.1.1</x:v>
      </x:c>
      <x:c r="C125" s="49" t="str">
        <x:v>Удержание по недействительным Операциям (12 оснований)</x:v>
      </x:c>
      <x:c r="D125" s="50" t="str">
        <x:v>5.1.1.1</x:v>
      </x:c>
      <x:c r="E125" s="52" t="str">
        <x:v>✅ Соответствует</x:v>
      </x:c>
      <x:c r="F125" s="53" t="str">
        <x:v>да</x:v>
      </x:c>
      <x:c r="G125" s="49"/>
    </x:row>
    <x:row r="126" ht="31.950000762939453" customHeight="1">
      <x:c r="B126" s="48" t="str">
        <x:v>5.1.1.2</x:v>
      </x:c>
      <x:c r="C126" s="49" t="str">
        <x:v>Удержание ошибочно перечисленных сумм</x:v>
      </x:c>
      <x:c r="D126" s="50" t="str">
        <x:v>5.1.1.2</x:v>
      </x:c>
      <x:c r="E126" s="52" t="str">
        <x:v>✅ Соответствует</x:v>
      </x:c>
      <x:c r="F126" s="53" t="str">
        <x:v>да</x:v>
      </x:c>
      <x:c r="G126" s="49"/>
    </x:row>
    <x:row r="127" ht="31.950000762939453" customHeight="1">
      <x:c r="B127" s="48" t="str">
        <x:v>5.1.1.3</x:v>
      </x:c>
      <x:c r="C127" s="49" t="str">
        <x:v>Удержание возвратов / Возврата платежа / Реверсивных транзакций</x:v>
      </x:c>
      <x:c r="D127" s="50" t="str">
        <x:v>5.1.1.3</x:v>
      </x:c>
      <x:c r="E127" s="52" t="str">
        <x:v>✅ Соответствует</x:v>
      </x:c>
      <x:c r="F127" s="53" t="str">
        <x:v>да</x:v>
      </x:c>
      <x:c r="G127" s="49"/>
    </x:row>
    <x:row r="128" ht="31.950000762939453" customHeight="1">
      <x:c r="B128" s="48" t="str">
        <x:v>5.1.1.4</x:v>
      </x:c>
      <x:c r="C128" s="49" t="str">
        <x:v>Удержание оспоренных/списанных сумм (QR, агентские)</x:v>
      </x:c>
      <x:c r="D128" s="50" t="str">
        <x:v>5.1.1.4</x:v>
      </x:c>
      <x:c r="E128" s="52" t="str">
        <x:v>✅ Соответствует</x:v>
      </x:c>
      <x:c r="F128" s="53" t="str">
        <x:v>да</x:v>
      </x:c>
      <x:c r="G128" s="49"/>
    </x:row>
    <x:row r="129" ht="31.950000762939453" customHeight="1">
      <x:c r="B129" s="48" t="str">
        <x:v>5.1.1.5</x:v>
      </x:c>
      <x:c r="C129" s="49" t="str">
        <x:v>Удержание штрафов и убытков из-за нарушений Предприятия</x:v>
      </x:c>
      <x:c r="D129" s="50" t="str">
        <x:v>5.1.1.5</x:v>
      </x:c>
      <x:c r="E129" s="52" t="str">
        <x:v>✅ Соответствует</x:v>
      </x:c>
      <x:c r="F129" s="53" t="str">
        <x:v>да</x:v>
      </x:c>
      <x:c r="G129" s="49"/>
    </x:row>
    <x:row r="130" ht="31.950000762939453" customHeight="1">
      <x:c r="B130" s="48" t="str">
        <x:v>5.1.1.6</x:v>
      </x:c>
      <x:c r="C130" s="49" t="str">
        <x:v>Удержание штрафа за невозврат ЭТ (п. 4.2.20.7)</x:v>
      </x:c>
      <x:c r="D130" s="50" t="str">
        <x:v>5.1.1.6</x:v>
      </x:c>
      <x:c r="E130" s="52" t="str">
        <x:v>✅ Соответствует</x:v>
      </x:c>
      <x:c r="F130" s="53" t="str">
        <x:v>да</x:v>
      </x:c>
      <x:c r="G130" s="49"/>
    </x:row>
    <x:row r="131" ht="31.950000762939453" customHeight="1">
      <x:c r="B131" s="48" t="str">
        <x:v>5.1.2</x:v>
      </x:c>
      <x:c r="C131" s="49" t="str">
        <x:v>Приостановить Авторизацию при задолженности Предприятия</x:v>
      </x:c>
      <x:c r="D131" s="50" t="str">
        <x:v>5.1.2</x:v>
      </x:c>
      <x:c r="E131" s="52" t="str">
        <x:v>✅ Соответствует</x:v>
      </x:c>
      <x:c r="F131" s="53" t="str">
        <x:v>да</x:v>
      </x:c>
      <x:c r="G131" s="49"/>
    </x:row>
    <x:row r="132" ht="31.950000762939453" customHeight="1">
      <x:c r="B132" s="48" t="str">
        <x:v>5.1.3</x:v>
      </x:c>
      <x:c r="C132" s="49" t="str">
        <x:v>Списание без доп. распоряжения (заранее данный акцепт — счёт в Банке)</x:v>
      </x:c>
      <x:c r="D132" s="50" t="str">
        <x:v>5.1.3</x:v>
      </x:c>
      <x:c r="E132" s="52" t="str">
        <x:v>✅ Соответствует</x:v>
      </x:c>
      <x:c r="F132" s="53" t="str">
        <x:v>да</x:v>
      </x:c>
      <x:c r="G132" s="49"/>
    </x:row>
    <x:row r="133" ht="31.950000762939453" customHeight="1">
      <x:c r="B133" s="48" t="str">
        <x:v>5.1.4</x:v>
      </x:c>
      <x:c r="C133" s="49" t="str">
        <x:v>Выставить счёт/платёжное требование к счёту в другом банке</x:v>
      </x:c>
      <x:c r="D133" s="50" t="str">
        <x:v>5.1.4</x:v>
      </x:c>
      <x:c r="E133" s="52" t="str">
        <x:v>✅ Соответствует</x:v>
      </x:c>
      <x:c r="F133" s="53" t="str">
        <x:v>да</x:v>
      </x:c>
      <x:c r="G133" s="49"/>
    </x:row>
    <x:row r="134" ht="31.950000762939453" customHeight="1">
      <x:c r="B134" s="48" t="str">
        <x:v>5.1.5</x:v>
      </x:c>
      <x:c r="C134" s="49" t="str">
        <x:v>Не возмещать суммы Операций с нарушением Договора</x:v>
      </x:c>
      <x:c r="D134" s="50" t="str">
        <x:v>5.1.5</x:v>
      </x:c>
      <x:c r="E134" s="52" t="str">
        <x:v>✅ Соответствует</x:v>
      </x:c>
      <x:c r="F134" s="53" t="str">
        <x:v>да</x:v>
      </x:c>
      <x:c r="G134" s="49"/>
    </x:row>
    <x:row r="135" ht="31.950000762939453" customHeight="1">
      <x:c r="B135" s="48" t="str">
        <x:v>5.1.6</x:v>
      </x:c>
      <x:c r="C135" s="49" t="str">
        <x:v>Проверять и заменять ЭТ; уведомлять за 2 р.д. до замены</x:v>
      </x:c>
      <x:c r="D135" s="50" t="str">
        <x:v>5.1.6</x:v>
      </x:c>
      <x:c r="E135" s="52" t="str">
        <x:v>✅ Соответствует</x:v>
      </x:c>
      <x:c r="F135" s="53" t="str">
        <x:v>да</x:v>
      </x:c>
      <x:c r="G135" s="49" t="str">
        <x:v>Смысловое соответствие. Договор: только ЭТ. Матрица: ЭТ + Смарт-терминалы.</x:v>
      </x:c>
    </x:row>
    <x:row r="136" ht="24" hidden="0" customHeight="1">
      <x:c r="B136" s="54" t="str">
        <x:v>5.1.7</x:v>
      </x:c>
      <x:c r="C136" s="55" t="str">
        <x:v>Передача ПДн Предприятия в МЕЖДУНАРОДНЫЕ ПС при мошенничестве/расторжении</x:v>
      </x:c>
      <x:c r="D136" s="59" t="str">
        <x:v>5.1.7</x:v>
      </x:c>
      <x:c r="E136" s="58" t="str">
        <x:v>⚠️ Расхождение</x:v>
      </x:c>
      <x:c r="F136" s="60" t="str">
        <x:v>да</x:v>
      </x:c>
      <x:c r="G136" s="55" t="str">
        <x:v>Матрица: передача данных только в ПС «МИР»; договор: также MasterCard, Visa, UnionPay, JCB и American Express, включая трансграничную передачу.</x:v>
      </x:c>
    </x:row>
    <x:row r="137" ht="31.950000762939453" customHeight="1">
      <x:c r="B137" s="48" t="str">
        <x:v>5.1.8</x:v>
      </x:c>
      <x:c r="C137" s="49" t="str">
        <x:v>Право прекратить Авторизацию/расторгнуть (вводный)</x:v>
      </x:c>
      <x:c r="D137" s="50" t="str">
        <x:v>5.1.8</x:v>
      </x:c>
      <x:c r="E137" s="52" t="str">
        <x:v>✅ Соответствует</x:v>
      </x:c>
      <x:c r="F137" s="53" t="str">
        <x:v>нет</x:v>
      </x:c>
      <x:c r="G137" s="49"/>
    </x:row>
    <x:row r="138" ht="31.950000762939453" customHeight="1">
      <x:c r="B138" s="48" t="str">
        <x:v>5.1.8.1</x:v>
      </x:c>
      <x:c r="C138" s="49" t="str">
        <x:v>Нарушение условий Договора</x:v>
      </x:c>
      <x:c r="D138" s="50" t="str">
        <x:v>5.1.8.1</x:v>
      </x:c>
      <x:c r="E138" s="52" t="str">
        <x:v>✅ Соответствует</x:v>
      </x:c>
      <x:c r="F138" s="53" t="str">
        <x:v>нет</x:v>
      </x:c>
      <x:c r="G138" s="49"/>
    </x:row>
    <x:row r="139" ht="31.950000762939453" customHeight="1">
      <x:c r="B139" s="48" t="str">
        <x:v>5.1.8.2</x:v>
      </x:c>
      <x:c r="C139" s="49" t="str">
        <x:v>Включение в перечень террористов/экстремистов</x:v>
      </x:c>
      <x:c r="D139" s="50" t="str">
        <x:v>5.1.8.2</x:v>
      </x:c>
      <x:c r="E139" s="52" t="str">
        <x:v>✅ Соответствует</x:v>
      </x:c>
      <x:c r="F139" s="53" t="str">
        <x:v>нет</x:v>
      </x:c>
      <x:c r="G139" s="49"/>
    </x:row>
    <x:row r="140" ht="31.950000762939453" customHeight="1">
      <x:c r="B140" s="48" t="str">
        <x:v>5.1.8.3</x:v>
      </x:c>
      <x:c r="C140" s="49" t="str">
        <x:v>Подозрение в легализации доходов / финансировании терроризма</x:v>
      </x:c>
      <x:c r="D140" s="50" t="str">
        <x:v>5.1.8.3</x:v>
      </x:c>
      <x:c r="E140" s="52" t="str">
        <x:v>✅ Соответствует</x:v>
      </x:c>
      <x:c r="F140" s="53" t="str">
        <x:v>нет</x:v>
      </x:c>
      <x:c r="G140" s="49"/>
    </x:row>
    <x:row r="141" ht="31.950000762939453" customHeight="1">
      <x:c r="B141" s="48" t="str">
        <x:v>5.1.8.4</x:v>
      </x:c>
      <x:c r="C141" s="49" t="str">
        <x:v>Несоответствие Ресурса требованиям Банка</x:v>
      </x:c>
      <x:c r="D141" s="50" t="str">
        <x:v>5.1.8.4</x:v>
      </x:c>
      <x:c r="E141" s="52" t="str">
        <x:v>✅ Соответствует</x:v>
      </x:c>
      <x:c r="F141" s="53" t="str">
        <x:v>нет</x:v>
      </x:c>
      <x:c r="G141" s="49"/>
    </x:row>
    <x:row r="142" ht="31.950000762939453" customHeight="1">
      <x:c r="B142" s="48" t="str">
        <x:v>5.1.8.5</x:v>
      </x:c>
      <x:c r="C142" s="49" t="str">
        <x:v>Запрещённые виды деятельности на Ресурсе</x:v>
      </x:c>
      <x:c r="D142" s="50" t="str">
        <x:v>5.1.8.5</x:v>
      </x:c>
      <x:c r="E142" s="52" t="str">
        <x:v>✅ Соответствует</x:v>
      </x:c>
      <x:c r="F142" s="53" t="str">
        <x:v>нет</x:v>
      </x:c>
      <x:c r="G142" s="49"/>
    </x:row>
    <x:row r="143" ht="31.950000762939453" customHeight="1">
      <x:c r="B143" s="48" t="str">
        <x:v>5.1.8.6</x:v>
      </x:c>
      <x:c r="C143" s="49" t="str">
        <x:v>Негативная информация от госорганов/ПС</x:v>
      </x:c>
      <x:c r="D143" s="50" t="str">
        <x:v>5.1.8.6</x:v>
      </x:c>
      <x:c r="E143" s="52" t="str">
        <x:v>✅ Соответствует</x:v>
      </x:c>
      <x:c r="F143" s="53" t="str">
        <x:v>нет</x:v>
      </x:c>
      <x:c r="G143" s="49"/>
    </x:row>
    <x:row r="144" ht="31.950000762939453" customHeight="1">
      <x:c r="B144" s="48" t="str">
        <x:v>5.1.8.7</x:v>
      </x:c>
      <x:c r="C144" s="49" t="str">
        <x:v>Информация о мошенничестве в ТСТ/на Ресурсе</x:v>
      </x:c>
      <x:c r="D144" s="50" t="str">
        <x:v>5.1.8.7</x:v>
      </x:c>
      <x:c r="E144" s="52" t="str">
        <x:v>✅ Соответствует</x:v>
      </x:c>
      <x:c r="F144" s="53" t="str">
        <x:v>нет</x:v>
      </x:c>
      <x:c r="G144" s="49"/>
    </x:row>
    <x:row r="145" ht="31.950000762939453" customHeight="1">
      <x:c r="B145" s="48" t="str">
        <x:v>5.1.8.8</x:v>
      </x:c>
      <x:c r="C145" s="49" t="str">
        <x:v>Ремонт помещений ТСТ, препятствующий Операциям</x:v>
      </x:c>
      <x:c r="D145" s="50" t="str">
        <x:v>5.1.8.8</x:v>
      </x:c>
      <x:c r="E145" s="52" t="str">
        <x:v>✅ Соответствует</x:v>
      </x:c>
      <x:c r="F145" s="53" t="str">
        <x:v>нет</x:v>
      </x:c>
      <x:c r="G145" s="49"/>
    </x:row>
    <x:row r="146" ht="31.950000762939453" customHeight="1">
      <x:c r="B146" s="48" t="str">
        <x:v>5.1.8.9</x:v>
      </x:c>
      <x:c r="C146" s="49" t="str">
        <x:v>Ликвидация / банкротство Предприятия</x:v>
      </x:c>
      <x:c r="D146" s="50" t="str">
        <x:v>5.1.8.9</x:v>
      </x:c>
      <x:c r="E146" s="52" t="str">
        <x:v>✅ Соответствует</x:v>
      </x:c>
      <x:c r="F146" s="53" t="str">
        <x:v>нет</x:v>
      </x:c>
      <x:c r="G146" s="49"/>
    </x:row>
    <x:row r="147" ht="31.950000762939453" customHeight="1">
      <x:c r="B147" s="48" t="str">
        <x:v>5.1.8.10</x:v>
      </x:c>
      <x:c r="C147" s="49" t="str">
        <x:v>Недостоверные сведения о Предприятии/ТСТ</x:v>
      </x:c>
      <x:c r="D147" s="50" t="str">
        <x:v>5.1.8.10</x:v>
      </x:c>
      <x:c r="E147" s="52" t="str">
        <x:v>✅ Соответствует</x:v>
      </x:c>
      <x:c r="F147" s="53" t="str">
        <x:v>нет</x:v>
      </x:c>
      <x:c r="G147" s="49"/>
    </x:row>
    <x:row r="148" ht="31.950000762939453" customHeight="1">
      <x:c r="B148" s="48" t="str">
        <x:v>5.1.8.11</x:v>
      </x:c>
      <x:c r="C148" s="49" t="str">
        <x:v>Несоответствие товаров роду деятельности</x:v>
      </x:c>
      <x:c r="D148" s="50" t="str">
        <x:v>5.1.8.11</x:v>
      </x:c>
      <x:c r="E148" s="52" t="str">
        <x:v>✅ Соответствует</x:v>
      </x:c>
      <x:c r="F148" s="53" t="str">
        <x:v>нет</x:v>
      </x:c>
      <x:c r="G148" s="49"/>
    </x:row>
    <x:row r="149" ht="48" hidden="0" customHeight="1">
      <x:c r="B149" s="54" t="str">
        <x:v>5.1.8.12</x:v>
      </x:c>
      <x:c r="C149" s="55" t="str">
        <x:v>Отсутствие Операций 30 кал. дней подряд</x:v>
      </x:c>
      <x:c r="D149" s="59" t="str">
        <x:v>5.1.8.12, 5.1.17, 5.1.17.1</x:v>
      </x:c>
      <x:c r="E149" s="58" t="str">
        <x:v>⚠️ Расхождение</x:v>
      </x:c>
      <x:c r="F149" s="60" t="str">
        <x:v>нет</x:v>
      </x:c>
      <x:c r="G149" s="55" t="str">
        <x:v>Матрица 5.1.17/5.1.17.1: расторжение и возврат POS при обороте не более 40 000 руб. (Москва/СПб — 80 000 руб.) за последний месяц; договор 5.1.8.12: расторжение лишь при полном отсутствии операций 30 календарных дней.</x:v>
      </x:c>
    </x:row>
    <x:row r="150" ht="31.950000762939453" customHeight="1">
      <x:c r="B150" s="48" t="str">
        <x:v>5.1.8.13</x:v>
      </x:c>
      <x:c r="C150" s="49" t="str">
        <x:v>Исчерпание Цены Договора / окончание срока действия</x:v>
      </x:c>
      <x:c r="D150" s="50" t="str">
        <x:v>5.1.8.13</x:v>
      </x:c>
      <x:c r="E150" s="52" t="str">
        <x:v>✅ Соответствует</x:v>
      </x:c>
      <x:c r="F150" s="53" t="str">
        <x:v>нет</x:v>
      </x:c>
      <x:c r="G150" s="49"/>
    </x:row>
    <x:row r="151" ht="31.950000762939453" customHeight="1">
      <x:c r="B151" s="48" t="str">
        <x:v>5.1.9</x:v>
      </x:c>
      <x:c r="C151" s="49" t="str">
        <x:v>Дополнительные проверки Операций; запрос в Банк-эмитент</x:v>
      </x:c>
      <x:c r="D151" s="50" t="str">
        <x:v>5.1.9</x:v>
      </x:c>
      <x:c r="E151" s="52" t="str">
        <x:v>✅ Соответствует</x:v>
      </x:c>
      <x:c r="F151" s="53" t="str">
        <x:v>да</x:v>
      </x:c>
      <x:c r="G151" s="49"/>
    </x:row>
    <x:row r="152" ht="31.950000762939453" customHeight="1">
      <x:c r="B152" s="48" t="str">
        <x:v>5.1.10</x:v>
      </x:c>
      <x:c r="C152" s="49" t="str">
        <x:v>Проверять Предприятие/Ресурс на мошенничество и соответствие деятельности</x:v>
      </x:c>
      <x:c r="D152" s="50" t="str">
        <x:v>5.1.10</x:v>
      </x:c>
      <x:c r="E152" s="52" t="str">
        <x:v>✅ Соответствует</x:v>
      </x:c>
      <x:c r="F152" s="53" t="str">
        <x:v>да</x:v>
      </x:c>
      <x:c r="G152" s="49"/>
    </x:row>
    <x:row r="153" ht="36" hidden="0" customHeight="1">
      <x:c r="B153" s="54" t="str">
        <x:v>5.1.11</x:v>
      </x:c>
      <x:c r="C153" s="55" t="str">
        <x:v>Запрашивать документы по Операциям в 13-мес. срок</x:v>
      </x:c>
      <x:c r="D153" s="59" t="str">
        <x:v>5.1.11</x:v>
      </x:c>
      <x:c r="E153" s="58" t="str">
        <x:v>⚠️ Расхождение</x:v>
      </x:c>
      <x:c r="F153" s="60" t="str">
        <x:v>да</x:v>
      </x:c>
      <x:c r="G153" s="55" t="str">
        <x:v>Матрица дополнительно требует запрашивать документы по электронным каналам одним из способов п. 2.3; договор способ направления запроса не устанавливает.</x:v>
      </x:c>
    </x:row>
    <x:row r="154" ht="31.950000762939453" customHeight="1">
      <x:c r="B154" s="48" t="str">
        <x:v>5.1.12</x:v>
      </x:c>
      <x:c r="C154" s="49" t="str">
        <x:v>Одностороннее изменение документов на сайте (за 1 кал. день)</x:v>
      </x:c>
      <x:c r="D154" s="50" t="str">
        <x:v>5.1.12</x:v>
      </x:c>
      <x:c r="E154" s="52" t="str">
        <x:v>✅ Соответствует</x:v>
      </x:c>
      <x:c r="F154" s="53" t="str">
        <x:v>нет</x:v>
      </x:c>
      <x:c r="G154" s="49"/>
    </x:row>
    <x:row r="155" ht="31.950000762939453" customHeight="1">
      <x:c r="B155" s="48" t="str">
        <x:v>5.1.13</x:v>
      </x:c>
      <x:c r="C155" s="49" t="str">
        <x:v>Изменение реквизитов Банка — публикация на сайте</x:v>
      </x:c>
      <x:c r="D155" s="50" t="str">
        <x:v>5.1.13</x:v>
      </x:c>
      <x:c r="E155" s="52" t="str">
        <x:v>✅ Соответствует</x:v>
      </x:c>
      <x:c r="F155" s="53" t="str">
        <x:v>нет</x:v>
      </x:c>
      <x:c r="G155" s="49"/>
    </x:row>
    <x:row r="156" ht="31.950000762939453" customHeight="1">
      <x:c r="B156" s="48" t="str">
        <x:v>5.1.14</x:v>
      </x:c>
      <x:c r="C156" s="49" t="str">
        <x:v>Запросы по Операциям на e-mail Предприятия/ТСТ</x:v>
      </x:c>
      <x:c r="D156" s="50" t="str">
        <x:v>5.1.14</x:v>
      </x:c>
      <x:c r="E156" s="52" t="str">
        <x:v>✅ Соответствует</x:v>
      </x:c>
      <x:c r="F156" s="53" t="str">
        <x:v>да</x:v>
      </x:c>
      <x:c r="G156" s="49"/>
    </x:row>
    <x:row r="157" ht="31.950000762939453" customHeight="1">
      <x:c r="B157" s="48" t="str">
        <x:v>5.1.15</x:v>
      </x:c>
      <x:c r="C157" s="49" t="str">
        <x:v>Право отказать в заключении Договора без объяснений</x:v>
      </x:c>
      <x:c r="D157" s="50" t="str">
        <x:v>5.1.15</x:v>
      </x:c>
      <x:c r="E157" s="52" t="str">
        <x:v>✅ Соответствует</x:v>
      </x:c>
      <x:c r="F157" s="53" t="str">
        <x:v>нет</x:v>
      </x:c>
      <x:c r="G157" s="49"/>
    </x:row>
    <x:row r="158" ht="31.950000762939453" customHeight="1">
      <x:c r="B158" s="48" t="str">
        <x:v>5.1.16</x:v>
      </x:c>
      <x:c r="C158" s="49" t="str">
        <x:v>Требовать документы для исполнения законодательных требований</x:v>
      </x:c>
      <x:c r="D158" s="50" t="str">
        <x:v>5.1.16</x:v>
      </x:c>
      <x:c r="E158" s="52" t="str">
        <x:v>✅ Соответствует</x:v>
      </x:c>
      <x:c r="F158" s="53" t="str">
        <x:v>да</x:v>
      </x:c>
      <x:c r="G158" s="49"/>
    </x:row>
    <x:row r="159" ht="31.950000762939453" customHeight="1">
      <x:c r="B159" s="48" t="str">
        <x:v>5.2.1</x:v>
      </x:c>
      <x:c r="C159" s="49" t="str">
        <x:v>Обеспечить доступ Предприятия к СПЭП</x:v>
      </x:c>
      <x:c r="D159" s="50" t="str">
        <x:v>5.2.1</x:v>
      </x:c>
      <x:c r="E159" s="52" t="str">
        <x:v>✅ Соответствует</x:v>
      </x:c>
      <x:c r="F159" s="53" t="str">
        <x:v>да</x:v>
      </x:c>
      <x:c r="G159" s="49"/>
    </x:row>
    <x:row r="160" ht="31.950000762939453" customHeight="1">
      <x:c r="B160" s="48" t="str">
        <x:v>5.2.2</x:v>
      </x:c>
      <x:c r="C160" s="49" t="str">
        <x:v>Безопасность ИЭ через 3DSecure</x:v>
      </x:c>
      <x:c r="D160" s="50" t="str">
        <x:v>5.2.2</x:v>
      </x:c>
      <x:c r="E160" s="52" t="str">
        <x:v>✅ Соответствует</x:v>
      </x:c>
      <x:c r="F160" s="53" t="str">
        <x:v>да</x:v>
      </x:c>
      <x:c r="G160" s="49"/>
    </x:row>
    <x:row r="161" ht="31.950000762939453" customHeight="1">
      <x:c r="B161" s="48" t="str">
        <x:v>5.2.3</x:v>
      </x:c>
      <x:c r="C161" s="49" t="str">
        <x:v>Установить и подготовить ЭТ; провести первичный инструктаж</x:v>
      </x:c>
      <x:c r="D161" s="50" t="str">
        <x:v>5.2.3</x:v>
      </x:c>
      <x:c r="E161" s="52" t="str">
        <x:v>✅ Соответствует</x:v>
      </x:c>
      <x:c r="F161" s="53" t="str">
        <x:v>да</x:v>
      </x:c>
      <x:c r="G161" s="49"/>
    </x:row>
    <x:row r="162" ht="31.950000762939453" customHeight="1">
      <x:c r="B162" s="48" t="str">
        <x:v>5.2.4</x:v>
      </x:c>
      <x:c r="C162" s="49" t="str">
        <x:v>Круглосуточная Авторизация</x:v>
      </x:c>
      <x:c r="D162" s="50" t="str">
        <x:v>5.2.4</x:v>
      </x:c>
      <x:c r="E162" s="52" t="str">
        <x:v>✅ Соответствует</x:v>
      </x:c>
      <x:c r="F162" s="53" t="str">
        <x:v>нет</x:v>
      </x:c>
      <x:c r="G162" s="49"/>
    </x:row>
    <x:row r="163" ht="31.950000762939453" customHeight="1">
      <x:c r="B163" s="48" t="str">
        <x:v>5.2.5</x:v>
      </x:c>
      <x:c r="C163" s="49" t="str">
        <x:v>Разместить обучающие материалы на сайте Банка</x:v>
      </x:c>
      <x:c r="D163" s="50" t="str">
        <x:v>5.2.5</x:v>
      </x:c>
      <x:c r="E163" s="52" t="str">
        <x:v>✅ Соответствует</x:v>
      </x:c>
      <x:c r="F163" s="53" t="str">
        <x:v>нет</x:v>
      </x:c>
      <x:c r="G163" s="49"/>
    </x:row>
    <x:row r="164" ht="31.950000762939453" customHeight="1">
      <x:c r="B164" s="48" t="str">
        <x:v>5.2.6</x:v>
      </x:c>
      <x:c r="C164" s="49" t="str">
        <x:v>Обеспечивать ЭТ информационными материалами</x:v>
      </x:c>
      <x:c r="D164" s="50" t="str">
        <x:v>5.2.6</x:v>
      </x:c>
      <x:c r="E164" s="52" t="str">
        <x:v>✅ Соответствует</x:v>
      </x:c>
      <x:c r="F164" s="53" t="str">
        <x:v>нет</x:v>
      </x:c>
      <x:c r="G164" s="49"/>
    </x:row>
    <x:row r="165" ht="31.950000762939453" customHeight="1">
      <x:c r="B165" s="48" t="str">
        <x:v>5.2.7</x:v>
      </x:c>
      <x:c r="C165" s="49" t="str">
        <x:v>Обеспечивать круглосуточную работоспособность ЭТ; замена в 3 р.д.</x:v>
      </x:c>
      <x:c r="D165" s="50" t="str">
        <x:v>5.2.7</x:v>
      </x:c>
      <x:c r="E165" s="52" t="str">
        <x:v>✅ Соответствует</x:v>
      </x:c>
      <x:c r="F165" s="53" t="str">
        <x:v>нет</x:v>
      </x:c>
      <x:c r="G165" s="49"/>
    </x:row>
    <x:row r="166" ht="45" customHeight="1">
      <x:c r="B166" s="48" t="str">
        <x:v>5.2.8</x:v>
      </x:c>
      <x:c r="C166" s="49" t="str">
        <x:v>Перечислять суммы Операций в 2 р.д. с получения расчётной информации</x:v>
      </x:c>
      <x:c r="D166" s="50" t="str">
        <x:v>5.2.8</x:v>
      </x:c>
      <x:c r="E166" s="52" t="str">
        <x:v>✅ Соответствует</x:v>
      </x:c>
      <x:c r="F166" s="53" t="str">
        <x:v>да</x:v>
      </x:c>
      <x:c r="G166" s="49"/>
    </x:row>
    <x:row r="167" ht="31.950000762939453" customHeight="1">
      <x:c r="B167" s="48" t="str">
        <x:v>5.2.9</x:v>
      </x:c>
      <x:c r="C167" s="49" t="str">
        <x:v>Предоставить Предприятию QR-код партнёра (электронно или на бумаге)</x:v>
      </x:c>
      <x:c r="D167" s="50" t="str">
        <x:v>5.2.9</x:v>
      </x:c>
      <x:c r="E167" s="52" t="str">
        <x:v>✅ Соответствует</x:v>
      </x:c>
      <x:c r="F167" s="53" t="str">
        <x:v>нет</x:v>
      </x:c>
      <x:c r="G167" s="49"/>
    </x:row>
    <x:row r="168" ht="45" customHeight="1">
      <x:c r="B168" s="48" t="str">
        <x:v>5.2.10</x:v>
      </x:c>
      <x:c r="C168" s="49" t="str">
        <x:v>Обрабатывать ПДн; обеспечивать конфиденциальность; меры защиты по 152-ФЗ</x:v>
      </x:c>
      <x:c r="D168" s="50" t="str">
        <x:v>5.2.10</x:v>
      </x:c>
      <x:c r="E168" s="52" t="str">
        <x:v>✅ Соответствует</x:v>
      </x:c>
      <x:c r="F168" s="53" t="str">
        <x:v>да</x:v>
      </x:c>
      <x:c r="G168" s="49"/>
    </x:row>
    <x:row r="169" ht="36" hidden="0" customHeight="1">
      <x:c r="B169" s="54" t="str">
        <x:v>5.2.11</x:v>
      </x:c>
      <x:c r="C169" s="55" t="str">
        <x:v>Предоставить возможность установки Мобильного приложения на устройство Предприятия</x:v>
      </x:c>
      <x:c r="D169" s="59" t="str">
        <x:v>5.2.3</x:v>
      </x:c>
      <x:c r="E169" s="58" t="str">
        <x:v>⚠️ Расхождение</x:v>
      </x:c>
      <x:c r="F169" s="60" t="str">
        <x:v>да</x:v>
      </x:c>
      <x:c r="G169" s="55" t="str">
        <x:v>Матрица 5.2.3: Банк устанавливает и подготавливает электронный терминал; договор 5.2.11: Банк лишь предоставляет возможность установки приложения, а установка возложена на Предприятие (п. 4.2.20.8).</x:v>
      </x:c>
    </x:row>
    <x:row r="170" ht="22.049999237060547" customHeight="1">
      <x:c r="B170" s="34" t="str">
        <x:v>РАЗДЕЛ 6. ОПЛАТА УСЛУГ БАНКА</x:v>
      </x:c>
      <x:c r="C170" s="20"/>
      <x:c r="D170" s="39"/>
      <x:c r="E170" s="20"/>
      <x:c r="F170" s="20"/>
      <x:c r="G170" s="20"/>
    </x:row>
    <x:row r="171" ht="36" hidden="0" customHeight="1">
      <x:c r="B171" s="97" t="n">
        <x:v>6.1</x:v>
      </x:c>
      <x:c r="C171" s="49" t="str">
        <x:v>Тарифы: % от Операций по Картам/QR/SberPay (разбивка по типам Карт)</x:v>
      </x:c>
      <x:c r="D171" s="50" t="str">
        <x:v>3.3, 6.1</x:v>
      </x:c>
      <x:c r="E171" s="52" t="str">
        <x:v>✅ Соответствует</x:v>
      </x:c>
      <x:c r="F171" s="53" t="str">
        <x:v>да</x:v>
      </x:c>
      <x:c r="G171" s="49" t="str">
        <x:v>Прямой аналог размера платы — п. 6.1 матрицы; п. 3.3 покрывает общую обязанность Предприятия уплачивать Банку плату. Пустые ставки не сравниваются.</x:v>
      </x:c>
    </x:row>
    <x:row r="172" ht="24" hidden="0" customHeight="1">
      <x:c r="B172" s="99" t="n">
        <x:v>6.2</x:v>
      </x:c>
      <x:c r="C172" s="55" t="str">
        <x:v>Банк направляет УПД не позднее 5-го р.д. следующего месяца (ЕИС/ЭДО)</x:v>
      </x:c>
      <x:c r="D172" s="106" t="n">
        <x:v>6.2</x:v>
      </x:c>
      <x:c r="E172" s="58" t="str">
        <x:v>⚠️ Расхождение</x:v>
      </x:c>
      <x:c r="F172" s="60" t="str">
        <x:v>да</x:v>
      </x:c>
      <x:c r="G172" s="55" t="str">
        <x:v>Матрица: вознаграждение включает НДС по ставке законодательства; договор: вознаграждение не облагается НДС по п. 3 ст. 149 НК РФ.</x:v>
      </x:c>
    </x:row>
    <x:row r="173" ht="45" customHeight="1">
      <x:c r="B173" s="97" t="n">
        <x:v>6.3</x:v>
      </x:c>
      <x:c r="C173" s="49" t="str">
        <x:v>Банк направляет Акт + счёт ф.363 не позднее 10-го р.д. (бумажный обмен)</x:v>
      </x:c>
      <x:c r="D173" s="105" t="n">
        <x:v>6.3</x:v>
      </x:c>
      <x:c r="E173" s="52" t="str">
        <x:v>✅ Соответствует</x:v>
      </x:c>
      <x:c r="F173" s="53" t="str">
        <x:v>да</x:v>
      </x:c>
      <x:c r="G173" s="49"/>
    </x:row>
    <x:row r="174" ht="31.950000762939453" customHeight="1">
      <x:c r="B174" s="97" t="n">
        <x:v>6.4</x:v>
      </x:c>
      <x:c r="C174" s="49" t="str">
        <x:v>Предприятие возвращает подписанный УПД или отказ до 25-го числа</x:v>
      </x:c>
      <x:c r="D174" s="105" t="n">
        <x:v>6.4</x:v>
      </x:c>
      <x:c r="E174" s="52" t="str">
        <x:v>✅ Соответствует</x:v>
      </x:c>
      <x:c r="F174" s="53" t="str">
        <x:v>да</x:v>
      </x:c>
      <x:c r="G174" s="49"/>
    </x:row>
    <x:row r="175" ht="31.950000762939453" customHeight="1">
      <x:c r="B175" s="97" t="n">
        <x:v>6.5</x:v>
      </x:c>
      <x:c r="C175" s="49" t="str">
        <x:v>Оплата услуг Банка в 5 р.д. с даты подписания УПД (безналично)</x:v>
      </x:c>
      <x:c r="D175" s="105" t="n">
        <x:v>6.5</x:v>
      </x:c>
      <x:c r="E175" s="52" t="str">
        <x:v>✅ Соответствует</x:v>
      </x:c>
      <x:c r="F175" s="53" t="str">
        <x:v>да</x:v>
      </x:c>
      <x:c r="G175" s="49"/>
    </x:row>
    <x:row r="176" ht="31.950000762939453" customHeight="1">
      <x:c r="B176" s="97" t="n">
        <x:v>6.6</x:v>
      </x:c>
      <x:c r="C176" s="49" t="str">
        <x:v>Оплата услуг Банка в 5 р.д. с даты получения счёта ф.363</x:v>
      </x:c>
      <x:c r="D176" s="105" t="n">
        <x:v>6.6</x:v>
      </x:c>
      <x:c r="E176" s="52" t="str">
        <x:v>✅ Соответствует</x:v>
      </x:c>
      <x:c r="F176" s="53" t="str">
        <x:v>да</x:v>
      </x:c>
      <x:c r="G176" s="49"/>
    </x:row>
    <x:row r="177" ht="31.950000762939453" customHeight="1">
      <x:c r="B177" s="97" t="n">
        <x:v>6.7</x:v>
      </x:c>
      <x:c r="C177" s="49" t="str">
        <x:v>Плата за сервисное обслуживание ЭТ: _____ руб./мес. за каждый</x:v>
      </x:c>
      <x:c r="D177" s="105" t="n">
        <x:v>6.7</x:v>
      </x:c>
      <x:c r="E177" s="52" t="str">
        <x:v>✅ Соответствует</x:v>
      </x:c>
      <x:c r="F177" s="53" t="str">
        <x:v>да</x:v>
      </x:c>
      <x:c r="G177" s="49"/>
    </x:row>
    <x:row r="178" ht="31.950000762939453" customHeight="1">
      <x:c r="B178" s="97" t="n">
        <x:v>6.8</x:v>
      </x:c>
      <x:c r="C178" s="49" t="str">
        <x:v>Банк направляет УПД по сервису не позднее 5-го р.д. (ЕИС/ЭДО)</x:v>
      </x:c>
      <x:c r="D178" s="105" t="n">
        <x:v>6.8</x:v>
      </x:c>
      <x:c r="E178" s="52" t="str">
        <x:v>✅ Соответствует</x:v>
      </x:c>
      <x:c r="F178" s="53" t="str">
        <x:v>да</x:v>
      </x:c>
      <x:c r="G178" s="49"/>
    </x:row>
    <x:row r="179" ht="31.950000762939453" customHeight="1">
      <x:c r="B179" s="97" t="n">
        <x:v>6.9</x:v>
      </x:c>
      <x:c r="C179" s="49" t="str">
        <x:v>Банк направляет счёт ф.363 по сервису не позднее 10-го р.д.</x:v>
      </x:c>
      <x:c r="D179" s="105" t="n">
        <x:v>6.9</x:v>
      </x:c>
      <x:c r="E179" s="52" t="str">
        <x:v>✅ Соответствует</x:v>
      </x:c>
      <x:c r="F179" s="53" t="str">
        <x:v>да</x:v>
      </x:c>
      <x:c r="G179" s="49"/>
    </x:row>
    <x:row r="180" ht="31.950000762939453" customHeight="1">
      <x:c r="B180" s="48" t="str">
        <x:f>"6.10"</x:f>
        <x:v>6.10</x:v>
      </x:c>
      <x:c r="C180" s="49" t="str">
        <x:v>Предприятие возвращает подписанный УПД по сервису до 25-го</x:v>
      </x:c>
      <x:c r="D180" s="50" t="str">
        <x:f>"6.10"</x:f>
        <x:v>6.10</x:v>
      </x:c>
      <x:c r="E180" s="52" t="str">
        <x:v>✅ Соответствует</x:v>
      </x:c>
      <x:c r="F180" s="53" t="str">
        <x:v>да</x:v>
      </x:c>
      <x:c r="G180" s="49"/>
    </x:row>
    <x:row r="181" ht="31.950000762939453" customHeight="1">
      <x:c r="B181" s="100" t="n">
        <x:v>6.11</x:v>
      </x:c>
      <x:c r="C181" s="49" t="str">
        <x:v>Оплата сервиса в 5 р.д. с подписания УПД</x:v>
      </x:c>
      <x:c r="D181" s="107" t="n">
        <x:v>6.11</x:v>
      </x:c>
      <x:c r="E181" s="52" t="str">
        <x:v>✅ Соответствует</x:v>
      </x:c>
      <x:c r="F181" s="53" t="str">
        <x:v>да</x:v>
      </x:c>
      <x:c r="G181" s="49"/>
    </x:row>
    <x:row r="182" ht="31.950000762939453" customHeight="1">
      <x:c r="B182" s="100" t="n">
        <x:v>6.12</x:v>
      </x:c>
      <x:c r="C182" s="49" t="str">
        <x:v>Оплата сервиса в 5 р.д. с получения счёта ф.363</x:v>
      </x:c>
      <x:c r="D182" s="107" t="n">
        <x:v>6.12</x:v>
      </x:c>
      <x:c r="E182" s="52" t="str">
        <x:v>✅ Соответствует</x:v>
      </x:c>
      <x:c r="F182" s="53" t="str">
        <x:v>да</x:v>
      </x:c>
      <x:c r="G182" s="49"/>
    </x:row>
    <x:row r="183" ht="24" hidden="0" customHeight="1">
      <x:c r="B183" s="101" t="n">
        <x:v>6.13</x:v>
      </x:c>
      <x:c r="C183" s="62" t="str">
        <x:v>Если счёта нет в Банке — заключить доп. соглашение об акцепте в 10 р.д.</x:v>
      </x:c>
      <x:c r="D183" s="63" t="str">
        <x:v>—</x:v>
      </x:c>
      <x:c r="E183" s="65" t="str">
        <x:v>❌ НЕТ аналога в матрице</x:v>
      </x:c>
      <x:c r="F183" s="66" t="str">
        <x:v>нет</x:v>
      </x:c>
      <x:c r="G183" s="62" t="str">
        <x:v>Специальная обязанность заключить допсоглашение о заранее данном акцепте в течение 10 рабочих дней в матрице отсутствует.</x:v>
      </x:c>
    </x:row>
    <x:row r="184" ht="24" hidden="0" customHeight="1">
      <x:c r="B184" s="100" t="n">
        <x:v>6.14</x:v>
      </x:c>
      <x:c r="C184" s="49" t="str">
        <x:v>По возвратам/Реверсивным транзакциям плата не взимается</x:v>
      </x:c>
      <x:c r="D184" s="50" t="str">
        <x:f>"6.20"</x:f>
        <x:v>6.20</x:v>
      </x:c>
      <x:c r="E184" s="52" t="str">
        <x:v>✅ Соответствует</x:v>
      </x:c>
      <x:c r="F184" s="53" t="str">
        <x:v>да</x:v>
      </x:c>
      <x:c r="G184" s="49" t="str">
        <x:v>Нумерация различается; юридическое содержание совпадает.</x:v>
      </x:c>
    </x:row>
    <x:row r="185" ht="24" hidden="0" customHeight="1">
      <x:c r="B185" s="102" t="n">
        <x:v>6.15</x:v>
      </x:c>
      <x:c r="C185" s="55" t="str">
        <x:v>Цена Договора составляет _____ руб.</x:v>
      </x:c>
      <x:c r="D185" s="108" t="n">
        <x:v>6.21</x:v>
      </x:c>
      <x:c r="E185" s="58" t="str">
        <x:v>⚠️ Расхождение</x:v>
      </x:c>
      <x:c r="F185" s="60" t="str">
        <x:v>да</x:v>
      </x:c>
      <x:c r="G185" s="55" t="str">
        <x:v>Матрица 6.21: Цена Договора включает НДС; договор 6.15 не определяет НДС. Пустое значение суммы не сравнивается.</x:v>
      </x:c>
    </x:row>
    <x:row r="186" ht="22.049999237060547" customHeight="1">
      <x:c r="B186" s="34" t="str">
        <x:v>РАЗДЕЛ 7. ОТВЕТСТВЕННОСТЬ СТОРОН</x:v>
      </x:c>
      <x:c r="C186" s="20"/>
      <x:c r="D186" s="39"/>
      <x:c r="E186" s="20"/>
      <x:c r="F186" s="20"/>
      <x:c r="G186" s="20"/>
    </x:row>
    <x:row r="187" ht="31.950000762939453" customHeight="1">
      <x:c r="B187" s="97" t="n">
        <x:v>7.1</x:v>
      </x:c>
      <x:c r="C187" s="49" t="str">
        <x:v>Ответственность Сторон — общий принцип (по условиям Договора и законодательству)</x:v>
      </x:c>
      <x:c r="D187" s="105" t="n">
        <x:v>7.1</x:v>
      </x:c>
      <x:c r="E187" s="52" t="str">
        <x:v>✅ Соответствует</x:v>
      </x:c>
      <x:c r="F187" s="53" t="str">
        <x:v>да</x:v>
      </x:c>
      <x:c r="G187" s="49"/>
    </x:row>
    <x:row r="188" ht="31.950000762939453" customHeight="1">
      <x:c r="B188" s="97" t="n">
        <x:v>7.2</x:v>
      </x:c>
      <x:c r="C188" s="49" t="str">
        <x:v>Штраф Предприятию за неисполнение (шкала по Цене договора: 1 000–100 000 руб.)</x:v>
      </x:c>
      <x:c r="D188" s="105" t="n">
        <x:v>7.2</x:v>
      </x:c>
      <x:c r="E188" s="52" t="str">
        <x:v>✅ Соответствует</x:v>
      </x:c>
      <x:c r="F188" s="53" t="str">
        <x:v>да</x:v>
      </x:c>
      <x:c r="G188" s="49"/>
    </x:row>
    <x:row r="189" ht="31.950000762939453" customHeight="1">
      <x:c r="B189" s="97" t="n">
        <x:v>7.3</x:v>
      </x:c>
      <x:c r="C189" s="49" t="str">
        <x:v>Общая сумма штрафов Предприятию не превышает Цену Договора</x:v>
      </x:c>
      <x:c r="D189" s="105" t="n">
        <x:v>7.3</x:v>
      </x:c>
      <x:c r="E189" s="52" t="str">
        <x:v>✅ Соответствует</x:v>
      </x:c>
      <x:c r="F189" s="53" t="str">
        <x:v>да</x:v>
      </x:c>
      <x:c r="G189" s="49"/>
    </x:row>
    <x:row r="190" ht="31.950000762939453" customHeight="1">
      <x:c r="B190" s="97" t="n">
        <x:v>7.4</x:v>
      </x:c>
      <x:c r="C190" s="49" t="str">
        <x:v>Пени Банку: 1/300 ключевой ставки за каждый день просрочки</x:v>
      </x:c>
      <x:c r="D190" s="105" t="n">
        <x:v>7.4</x:v>
      </x:c>
      <x:c r="E190" s="52" t="str">
        <x:v>✅ Соответствует</x:v>
      </x:c>
      <x:c r="F190" s="53" t="str">
        <x:v>да</x:v>
      </x:c>
      <x:c r="G190" s="49"/>
    </x:row>
    <x:row r="191" ht="31.950000762939453" customHeight="1">
      <x:c r="B191" s="97" t="n">
        <x:v>7.5</x:v>
      </x:c>
      <x:c r="C191" s="49" t="str">
        <x:v>Штраф Банку за неисполнение (шкала %% от Цены: 10%–0,1%)</x:v>
      </x:c>
      <x:c r="D191" s="105" t="n">
        <x:v>7.5</x:v>
      </x:c>
      <x:c r="E191" s="52" t="str">
        <x:v>✅ Соответствует</x:v>
      </x:c>
      <x:c r="F191" s="53" t="str">
        <x:v>да</x:v>
      </x:c>
      <x:c r="G191" s="49"/>
    </x:row>
    <x:row r="192" ht="31.950000762939453" customHeight="1">
      <x:c r="B192" s="97" t="n">
        <x:v>7.6</x:v>
      </x:c>
      <x:c r="C192" s="49" t="str">
        <x:v>Штраф Банку за нестоимостные нарушения (шкала по Цене: 1 000–100 000 руб.)</x:v>
      </x:c>
      <x:c r="D192" s="105" t="n">
        <x:v>7.6</x:v>
      </x:c>
      <x:c r="E192" s="52" t="str">
        <x:v>✅ Соответствует</x:v>
      </x:c>
      <x:c r="F192" s="53" t="str">
        <x:v>да</x:v>
      </x:c>
      <x:c r="G192" s="49"/>
    </x:row>
    <x:row r="193" ht="31.950000762939453" customHeight="1">
      <x:c r="B193" s="97" t="n">
        <x:v>7.7</x:v>
      </x:c>
      <x:c r="C193" s="49" t="str">
        <x:v>Общая сумма штрафов Банку не превышает Цену Договора</x:v>
      </x:c>
      <x:c r="D193" s="105" t="n">
        <x:v>7.7</x:v>
      </x:c>
      <x:c r="E193" s="52" t="str">
        <x:v>✅ Соответствует</x:v>
      </x:c>
      <x:c r="F193" s="53" t="str">
        <x:v>да</x:v>
      </x:c>
      <x:c r="G193" s="49"/>
    </x:row>
    <x:row r="194" ht="45" customHeight="1">
      <x:c r="B194" s="97" t="n">
        <x:v>7.8</x:v>
      </x:c>
      <x:c r="C194" s="49" t="str">
        <x:v>Банк не несёт ответственности по спорам Предприятие–Покупатель</x:v>
      </x:c>
      <x:c r="D194" s="105" t="n">
        <x:v>7.8</x:v>
      </x:c>
      <x:c r="E194" s="52" t="str">
        <x:v>✅ Соответствует</x:v>
      </x:c>
      <x:c r="F194" s="53" t="str">
        <x:v>нет</x:v>
      </x:c>
      <x:c r="G194" s="49"/>
    </x:row>
    <x:row r="195" ht="31.950000762939453" customHeight="1">
      <x:c r="B195" s="97" t="n">
        <x:v>7.9</x:v>
      </x:c>
      <x:c r="C195" s="49" t="str">
        <x:v>Банк не несёт ответственности за задержки не по его вине</x:v>
      </x:c>
      <x:c r="D195" s="105" t="n">
        <x:v>7.9</x:v>
      </x:c>
      <x:c r="E195" s="52" t="str">
        <x:v>✅ Соответствует</x:v>
      </x:c>
      <x:c r="F195" s="53" t="str">
        <x:v>нет</x:v>
      </x:c>
      <x:c r="G195" s="49"/>
    </x:row>
    <x:row r="196" ht="31.950000762939453" customHeight="1">
      <x:c r="B196" s="48" t="str">
        <x:f>"7.10"</x:f>
        <x:v>7.10</x:v>
      </x:c>
      <x:c r="C196" s="49" t="str">
        <x:v>Банк не несёт ответственности за действия третьих лиц (участников ПС)</x:v>
      </x:c>
      <x:c r="D196" s="50" t="str">
        <x:f>"7.10"</x:f>
        <x:v>7.10</x:v>
      </x:c>
      <x:c r="E196" s="52" t="str">
        <x:v>✅ Соответствует</x:v>
      </x:c>
      <x:c r="F196" s="53" t="str">
        <x:v>нет</x:v>
      </x:c>
      <x:c r="G196" s="49"/>
    </x:row>
    <x:row r="197" ht="31.950000762939453" customHeight="1">
      <x:c r="B197" s="100" t="n">
        <x:v>7.11</x:v>
      </x:c>
      <x:c r="C197" s="49" t="str">
        <x:v>Банк не несёт ответственности при расследовании подозрительных Операций</x:v>
      </x:c>
      <x:c r="D197" s="107" t="n">
        <x:v>7.11</x:v>
      </x:c>
      <x:c r="E197" s="52" t="str">
        <x:v>✅ Соответствует</x:v>
      </x:c>
      <x:c r="F197" s="53" t="str">
        <x:v>нет</x:v>
      </x:c>
      <x:c r="G197" s="49"/>
    </x:row>
    <x:row r="198" ht="31.950000762939453" customHeight="1">
      <x:c r="B198" s="100" t="n">
        <x:v>7.12</x:v>
      </x:c>
      <x:c r="C198" s="49" t="str">
        <x:v>Банк не несёт ответственности при превышении Цены Договора</x:v>
      </x:c>
      <x:c r="D198" s="107" t="n">
        <x:v>7.12</x:v>
      </x:c>
      <x:c r="E198" s="52" t="str">
        <x:v>✅ Соответствует</x:v>
      </x:c>
      <x:c r="F198" s="53" t="str">
        <x:v>нет</x:v>
      </x:c>
      <x:c r="G198" s="49"/>
    </x:row>
    <x:row r="199" ht="31.950000762939453" customHeight="1">
      <x:c r="B199" s="100" t="n">
        <x:v>7.13</x:v>
      </x:c>
      <x:c r="C199" s="49" t="str">
        <x:v>Предприятие отвечает за некорректные Операции на Ресурсе (нарушение п. 4.2.21.1)</x:v>
      </x:c>
      <x:c r="D199" s="107" t="n">
        <x:v>7.13</x:v>
      </x:c>
      <x:c r="E199" s="52" t="str">
        <x:v>✅ Соответствует</x:v>
      </x:c>
      <x:c r="F199" s="53" t="str">
        <x:v>да</x:v>
      </x:c>
      <x:c r="G199" s="49"/>
    </x:row>
    <x:row r="200" ht="31.950000762939453" customHeight="1">
      <x:c r="B200" s="100" t="n">
        <x:v>7.14</x:v>
      </x:c>
      <x:c r="C200" s="49" t="str">
        <x:v>Предприятие несёт ответственность за все действия в СПЭП</x:v>
      </x:c>
      <x:c r="D200" s="107" t="n">
        <x:v>7.14</x:v>
      </x:c>
      <x:c r="E200" s="52" t="str">
        <x:v>✅ Соответствует</x:v>
      </x:c>
      <x:c r="F200" s="53" t="str">
        <x:v>да</x:v>
      </x:c>
      <x:c r="G200" s="49"/>
    </x:row>
    <x:row r="201" ht="31.950000762939453" customHeight="1">
      <x:c r="B201" s="100" t="n">
        <x:v>7.15</x:v>
      </x:c>
      <x:c r="C201" s="49" t="str">
        <x:v>Предприятие несёт ответственность за действия своего персонала</x:v>
      </x:c>
      <x:c r="D201" s="107" t="n">
        <x:v>7.15</x:v>
      </x:c>
      <x:c r="E201" s="52" t="str">
        <x:v>✅ Соответствует</x:v>
      </x:c>
      <x:c r="F201" s="53" t="str">
        <x:v>да</x:v>
      </x:c>
      <x:c r="G201" s="49"/>
    </x:row>
    <x:row r="202" ht="31.950000762939453" customHeight="1">
      <x:c r="B202" s="100" t="n">
        <x:v>7.16</x:v>
      </x:c>
      <x:c r="C202" s="49" t="str">
        <x:v>Антикоррупционная оговорка (273-ФЗ)</x:v>
      </x:c>
      <x:c r="D202" s="107" t="n">
        <x:v>7.16</x:v>
      </x:c>
      <x:c r="E202" s="52" t="str">
        <x:v>✅ Соответствует</x:v>
      </x:c>
      <x:c r="F202" s="53" t="str">
        <x:v>да</x:v>
      </x:c>
      <x:c r="G202" s="49"/>
    </x:row>
    <x:row r="203" ht="31.950000762939453" customHeight="1">
      <x:c r="B203" s="100" t="n">
        <x:v>7.17</x:v>
      </x:c>
      <x:c r="C203" s="49" t="str">
        <x:v>Ответственность за несоответствие Повторяющихся платежей законодательству</x:v>
      </x:c>
      <x:c r="D203" s="107" t="n">
        <x:v>7.17</x:v>
      </x:c>
      <x:c r="E203" s="52" t="str">
        <x:v>✅ Соответствует</x:v>
      </x:c>
      <x:c r="F203" s="53" t="str">
        <x:v>да</x:v>
      </x:c>
      <x:c r="G203" s="49"/>
    </x:row>
    <x:row r="204" ht="22.049999237060547" customHeight="1">
      <x:c r="B204" s="34" t="str">
        <x:v>РАЗДЕЛ 8. ФОРС-МАЖОР</x:v>
      </x:c>
      <x:c r="C204" s="20"/>
      <x:c r="D204" s="39"/>
      <x:c r="E204" s="20"/>
      <x:c r="F204" s="20"/>
      <x:c r="G204" s="20"/>
    </x:row>
    <x:row r="205" ht="31.950000762939453" customHeight="1">
      <x:c r="B205" s="97" t="n">
        <x:v>8.1</x:v>
      </x:c>
      <x:c r="C205" s="49" t="str">
        <x:v>Форс-мажор: освобождение от ответственности; перечень обстоятельств</x:v>
      </x:c>
      <x:c r="D205" s="105" t="n">
        <x:v>8.1</x:v>
      </x:c>
      <x:c r="E205" s="52" t="str">
        <x:v>✅ Соответствует</x:v>
      </x:c>
      <x:c r="F205" s="53" t="str">
        <x:v>да</x:v>
      </x:c>
      <x:c r="G205" s="49"/>
    </x:row>
    <x:row r="206" ht="31.950000762939453" customHeight="1">
      <x:c r="B206" s="97" t="n">
        <x:v>8.2</x:v>
      </x:c>
      <x:c r="C206" s="49" t="str">
        <x:v>При форс-мажоре — уведомить в 24 ч.; при сроке &gt; 3 мес. — право расторжения</x:v>
      </x:c>
      <x:c r="D206" s="105" t="n">
        <x:v>8.2</x:v>
      </x:c>
      <x:c r="E206" s="52" t="str">
        <x:v>✅ Соответствует</x:v>
      </x:c>
      <x:c r="F206" s="53" t="str">
        <x:v>да</x:v>
      </x:c>
      <x:c r="G206" s="49"/>
    </x:row>
    <x:row r="207" ht="22.049999237060547" customHeight="1">
      <x:c r="B207" s="34" t="str">
        <x:v>РАЗДЕЛ 9. УРЕГУЛИРОВАНИЕ СПОРОВ</x:v>
      </x:c>
      <x:c r="C207" s="20"/>
      <x:c r="D207" s="39"/>
      <x:c r="E207" s="20"/>
      <x:c r="F207" s="20"/>
      <x:c r="G207" s="20"/>
    </x:row>
    <x:row r="208" ht="31.950000762939453" customHeight="1">
      <x:c r="B208" s="97" t="n">
        <x:v>9.1</x:v>
      </x:c>
      <x:c r="C208" s="49" t="str">
        <x:v>Урегулирование споров — претензионный порядок</x:v>
      </x:c>
      <x:c r="D208" s="105" t="n">
        <x:v>9.1</x:v>
      </x:c>
      <x:c r="E208" s="52" t="str">
        <x:v>✅ Соответствует</x:v>
      </x:c>
      <x:c r="F208" s="53" t="str">
        <x:v>да</x:v>
      </x:c>
      <x:c r="G208" s="49"/>
    </x:row>
    <x:row r="209" ht="31.950000762939453" customHeight="1">
      <x:c r="B209" s="97" t="n">
        <x:v>9.2</x:v>
      </x:c>
      <x:c r="C209" s="49" t="str">
        <x:v>Срок рассмотрения претензий — 10 кал. дней</x:v>
      </x:c>
      <x:c r="D209" s="105" t="n">
        <x:v>9.2</x:v>
      </x:c>
      <x:c r="E209" s="52" t="str">
        <x:v>✅ Соответствует</x:v>
      </x:c>
      <x:c r="F209" s="53" t="str">
        <x:v>да</x:v>
      </x:c>
      <x:c r="G209" s="49"/>
    </x:row>
    <x:row r="210" ht="31.950000762939453" customHeight="1">
      <x:c r="B210" s="97" t="n">
        <x:v>9.3</x:v>
      </x:c>
      <x:c r="C210" s="49" t="str">
        <x:v>Неурегулированные споры — по законодательству РФ</x:v>
      </x:c>
      <x:c r="D210" s="105" t="n">
        <x:v>9.3</x:v>
      </x:c>
      <x:c r="E210" s="52" t="str">
        <x:v>✅ Соответствует</x:v>
      </x:c>
      <x:c r="F210" s="53" t="str">
        <x:v>да</x:v>
      </x:c>
      <x:c r="G210" s="49"/>
    </x:row>
    <x:row r="211" ht="22.049999237060547" customHeight="1">
      <x:c r="B211" s="34" t="str">
        <x:v>РАЗДЕЛ 10. СРОК ДЕЙСТВИЯ И РАСТОРЖЕНИЕ</x:v>
      </x:c>
      <x:c r="C211" s="20"/>
      <x:c r="D211" s="39"/>
      <x:c r="E211" s="20"/>
      <x:c r="F211" s="20"/>
      <x:c r="G211" s="20"/>
    </x:row>
    <x:row r="212" ht="24" hidden="0" customHeight="1">
      <x:c r="B212" s="97" t="n">
        <x:v>10.1</x:v>
      </x:c>
      <x:c r="C212" s="49" t="str">
        <x:v>Договор действует с даты подписания по 31.12.2023 или до исчерпания Цены</x:v>
      </x:c>
      <x:c r="D212" s="105" t="n">
        <x:v>10.1</x:v>
      </x:c>
      <x:c r="E212" s="52" t="str">
        <x:v>✅ Соответствует</x:v>
      </x:c>
      <x:c r="F212" s="53" t="str">
        <x:v>да</x:v>
      </x:c>
      <x:c r="G212" s="49"/>
    </x:row>
    <x:row r="213" ht="31.950000762939453" customHeight="1">
      <x:c r="B213" s="97" t="n">
        <x:v>10.2</x:v>
      </x:c>
      <x:c r="C213" s="49" t="str">
        <x:v>Досрочное расторжение любой Стороной с уведомлением за 30 кал. дней</x:v>
      </x:c>
      <x:c r="D213" s="105" t="n">
        <x:v>10.2</x:v>
      </x:c>
      <x:c r="E213" s="52" t="str">
        <x:v>✅ Соответствует</x:v>
      </x:c>
      <x:c r="F213" s="53" t="str">
        <x:v>да</x:v>
      </x:c>
      <x:c r="G213" s="49"/>
    </x:row>
    <x:row r="214" ht="31.950000762939453" customHeight="1">
      <x:c r="B214" s="97" t="n">
        <x:v>10.3</x:v>
      </x:c>
      <x:c r="C214" s="49" t="str">
        <x:v>Расторжение Банком по п. 5.1.8: взаиморасчёты в 18 мес.</x:v>
      </x:c>
      <x:c r="D214" s="105" t="n">
        <x:v>10.3</x:v>
      </x:c>
      <x:c r="E214" s="52" t="str">
        <x:v>✅ Соответствует</x:v>
      </x:c>
      <x:c r="F214" s="53" t="str">
        <x:v>да</x:v>
      </x:c>
      <x:c r="G214" s="49"/>
    </x:row>
    <x:row r="215" ht="22.049999237060547" customHeight="1">
      <x:c r="B215" s="34" t="str">
        <x:v>РАЗДЕЛ 11. ПРОЧИЕ УСЛОВИЯ</x:v>
      </x:c>
      <x:c r="C215" s="20"/>
      <x:c r="D215" s="39"/>
      <x:c r="E215" s="20"/>
      <x:c r="F215" s="20"/>
      <x:c r="G215" s="20"/>
    </x:row>
    <x:row r="216" ht="31.950000762939453" customHeight="1">
      <x:c r="B216" s="97" t="n">
        <x:v>11.1</x:v>
      </x:c>
      <x:c r="C216" s="49" t="str">
        <x:v>Источники правового регулирования: Договор, законодательство РФ, правила ПС</x:v>
      </x:c>
      <x:c r="D216" s="105" t="n">
        <x:v>11.1</x:v>
      </x:c>
      <x:c r="E216" s="52" t="str">
        <x:v>✅ Соответствует</x:v>
      </x:c>
      <x:c r="F216" s="53" t="str">
        <x:v>нет</x:v>
      </x:c>
      <x:c r="G216" s="49"/>
    </x:row>
    <x:row r="217" ht="31.950000762939453" customHeight="1">
      <x:c r="B217" s="97" t="n">
        <x:v>11.2</x:v>
      </x:c>
      <x:c r="C217" s="49" t="str">
        <x:v>Конфиденциальность данных Покупателей; запрет передачи 3-м лицам</x:v>
      </x:c>
      <x:c r="D217" s="105" t="n">
        <x:v>11.2</x:v>
      </x:c>
      <x:c r="E217" s="52" t="str">
        <x:v>✅ Соответствует</x:v>
      </x:c>
      <x:c r="F217" s="53" t="str">
        <x:v>нет</x:v>
      </x:c>
      <x:c r="G217" s="49"/>
    </x:row>
    <x:row r="218" ht="31.950000762939453" customHeight="1">
      <x:c r="B218" s="97" t="n">
        <x:v>11.3</x:v>
      </x:c>
      <x:c r="C218" s="49" t="str">
        <x:v>Обязательство не разглашать коммерческую информацию Сторон</x:v>
      </x:c>
      <x:c r="D218" s="105" t="n">
        <x:v>11.3</x:v>
      </x:c>
      <x:c r="E218" s="52" t="str">
        <x:v>✅ Соответствует</x:v>
      </x:c>
      <x:c r="F218" s="53" t="str">
        <x:v>нет</x:v>
      </x:c>
      <x:c r="G218" s="49"/>
    </x:row>
    <x:row r="219" ht="31.950000762939453" customHeight="1">
      <x:c r="B219" s="97" t="n">
        <x:v>11.4</x:v>
      </x:c>
      <x:c r="C219" s="49" t="str">
        <x:v>Изменения и дополнения к Договору — только в письменной форме</x:v>
      </x:c>
      <x:c r="D219" s="105" t="n">
        <x:v>11.4</x:v>
      </x:c>
      <x:c r="E219" s="52" t="str">
        <x:v>✅ Соответствует</x:v>
      </x:c>
      <x:c r="F219" s="53" t="str">
        <x:v>нет</x:v>
      </x:c>
      <x:c r="G219" s="49"/>
    </x:row>
    <x:row r="220" ht="24" hidden="0" customHeight="1">
      <x:c r="B220" s="97" t="n">
        <x:v>11.5</x:v>
      </x:c>
      <x:c r="C220" s="49" t="str">
        <x:v>Преддоговорные соглашения, переговоры и переписка утрачивают силу</x:v>
      </x:c>
      <x:c r="D220" s="105" t="n">
        <x:v>11.5</x:v>
      </x:c>
      <x:c r="E220" s="52" t="str">
        <x:v>✅ Соответствует</x:v>
      </x:c>
      <x:c r="F220" s="53" t="str">
        <x:v>нет</x:v>
      </x:c>
      <x:c r="G220" s="49"/>
    </x:row>
    <x:row r="221" ht="24" hidden="0" customHeight="1">
      <x:c r="B221" s="95" t="n">
        <x:v>11.6</x:v>
      </x:c>
      <x:c r="C221" s="25" t="str">
        <x:v>Количество экземпляров Договора</x:v>
      </x:c>
      <x:c r="D221" s="109" t="n">
        <x:v>11.6</x:v>
      </x:c>
      <x:c r="E221" s="28" t="str">
        <x:v>ℹ️ Исключено</x:v>
      </x:c>
      <x:c r="F221" s="47" t="str">
        <x:v>—</x:v>
      </x:c>
      <x:c r="G221" s="25" t="str">
        <x:v>Техническая строка о количестве экземпляров; самостоятельного права или обязанности не создаёт.</x:v>
      </x:c>
    </x:row>
    <x:row r="222" ht="24" hidden="0" customHeight="1">
      <x:c r="B222" s="97" t="n">
        <x:v>11.7</x:v>
      </x:c>
      <x:c r="C222" s="49" t="str">
        <x:v>Приложения — неотъемлемая часть Договора</x:v>
      </x:c>
      <x:c r="D222" s="105" t="n">
        <x:v>11.7</x:v>
      </x:c>
      <x:c r="E222" s="52" t="str">
        <x:v>✅ Соответствует</x:v>
      </x:c>
      <x:c r="F222" s="53" t="str">
        <x:v>нет</x:v>
      </x:c>
      <x:c r="G222" s="49"/>
    </x:row>
    <x:row r="223" ht="24" hidden="0" customHeight="1">
      <x:c r="B223" s="97" t="n">
        <x:v>11.8</x:v>
      </x:c>
      <x:c r="C223" s="49" t="str">
        <x:v>Заверение о законности реализации Товаров/услуг</x:v>
      </x:c>
      <x:c r="D223" s="105" t="n">
        <x:v>11.8</x:v>
      </x:c>
      <x:c r="E223" s="52" t="str">
        <x:v>✅ Соответствует</x:v>
      </x:c>
      <x:c r="F223" s="53" t="str">
        <x:v>нет</x:v>
      </x:c>
      <x:c r="G223" s="49"/>
    </x:row>
    <x:row r="224" ht="24" hidden="0" customHeight="1">
      <x:c r="B224" s="97" t="n">
        <x:v>11.9</x:v>
      </x:c>
      <x:c r="C224" s="49" t="str">
        <x:v>Запрет передачи прав/обязанностей без письменного согласия</x:v>
      </x:c>
      <x:c r="D224" s="105" t="n">
        <x:v>11.9</x:v>
      </x:c>
      <x:c r="E224" s="52" t="str">
        <x:v>✅ Соответствует</x:v>
      </x:c>
      <x:c r="F224" s="53" t="str">
        <x:v>нет</x:v>
      </x:c>
      <x:c r="G224" s="49"/>
    </x:row>
    <x:row r="225" ht="24" hidden="0" customHeight="1">
      <x:c r="B225" s="48" t="str">
        <x:f>"11.10"</x:f>
        <x:v>11.10</x:v>
      </x:c>
      <x:c r="C225" s="49" t="str">
        <x:v>Правопреемство при реорганизации; требования при ликвидации</x:v>
      </x:c>
      <x:c r="D225" s="50" t="str">
        <x:f>"11.10"</x:f>
        <x:v>11.10</x:v>
      </x:c>
      <x:c r="E225" s="52" t="str">
        <x:v>✅ Соответствует</x:v>
      </x:c>
      <x:c r="F225" s="53" t="str">
        <x:v>нет</x:v>
      </x:c>
      <x:c r="G225" s="49"/>
    </x:row>
    <x:row r="226" ht="26.399999618530273" hidden="0" customHeight="1">
      <x:c r="B226" s="103" t="n">
        <x:v>11.11</x:v>
      </x:c>
      <x:c r="C226" s="77" t="str">
        <x:v>Инструктивные материалы обязательны со следующего рабочего дня</x:v>
      </x:c>
      <x:c r="D226" s="110" t="n">
        <x:v>11.11</x:v>
      </x:c>
      <x:c r="E226" s="80" t="str">
        <x:v>✅ Соответствует</x:v>
      </x:c>
      <x:c r="F226" s="80" t="str">
        <x:v>нет</x:v>
      </x:c>
      <x:c r="G226" s="77" t="str">
        <x:v>Пустой адрес сайта является шаблонным параметром и не формирует отклонение.</x:v>
      </x:c>
    </x:row>
    <x:row r="227" ht="26.399999618530273" hidden="0" customHeight="1">
      <x:c r="B227" s="103" t="n">
        <x:v>11.12</x:v>
      </x:c>
      <x:c r="C227" s="77" t="str">
        <x:v>Уведомления и запросы — согласно п. 2.3</x:v>
      </x:c>
      <x:c r="D227" s="110" t="n">
        <x:v>11.12</x:v>
      </x:c>
      <x:c r="E227" s="80" t="str">
        <x:v>✅ Соответствует</x:v>
      </x:c>
      <x:c r="F227" s="80" t="str">
        <x:v>нет</x:v>
      </x:c>
      <x:c r="G227" s="77"/>
    </x:row>
    <x:row r="228" ht="26.399999618530273" hidden="0" customHeight="1">
      <x:c r="B228" s="104" t="n">
        <x:v>11.13</x:v>
      </x:c>
      <x:c r="C228" s="91" t="str">
        <x:v>Перечень приложений к Договору</x:v>
      </x:c>
      <x:c r="D228" s="111" t="n">
        <x:v>11.13</x:v>
      </x:c>
      <x:c r="E228" s="93" t="str">
        <x:v>ℹ️ Исключено</x:v>
      </x:c>
      <x:c r="F228" s="94" t="str">
        <x:v>—</x:v>
      </x:c>
      <x:c r="G228" s="91" t="str">
        <x:v>Технический перечень приложений; самостоятельного права или обязанности не создаёт.</x:v>
      </x:c>
    </x:row>
  </x:sheetData>
  <x:mergeCells>
    <x:mergeCell ref="B211:G211"/>
    <x:mergeCell ref="B79:G79"/>
    <x:mergeCell ref="B170:G170"/>
    <x:mergeCell ref="B215:G215"/>
    <x:mergeCell ref="B2:H2"/>
    <x:mergeCell ref="B75:G75"/>
    <x:mergeCell ref="B62:G62"/>
    <x:mergeCell ref="B204:G204"/>
    <x:mergeCell ref="B123:G123"/>
    <x:mergeCell ref="B5:G5"/>
    <x:mergeCell ref="B207:G207"/>
    <x:mergeCell ref="B186:G18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3" customWidth="1"/>
    <x:col min="2" max="2" width="18" customWidth="1"/>
    <x:col min="3" max="3" width="55" customWidth="1"/>
    <x:col min="4" max="4" width="10" customWidth="1"/>
    <x:col min="5" max="5" width="55" customWidth="1"/>
  </x:cols>
  <x:sheetData>
    <x:row r="2" ht="16.799999237060547" hidden="0" customHeight="1">
      <x:c r="B2" s="21" t="str">
        <x:v>ПРИМЕНИМЫЕ ОБЯЗАТЕЛЬНЫЕ ПУНКТЫ МАТРИЦЫ БЕЗ АНАЛОГА В ДОГОВОРЕ</x:v>
      </x:c>
      <x:c r="C2" s="20"/>
      <x:c r="D2" s="20"/>
      <x:c r="E2" s="20"/>
      <x:c r="F2" s="20"/>
    </x:row>
    <x:row r="3" ht="14.399999618530273" hidden="0" customHeight="1">
      <x:c r="B3" s="23" t="str">
        <x:v>Итого: 3 применимых обязательных требования матрицы не покрыты договором. Для QR выбрана одна подтверждённая OR-ветка: Банк — Вендор.</x:v>
      </x:c>
      <x:c r="C3" s="20"/>
      <x:c r="D3" s="20"/>
      <x:c r="E3" s="20"/>
      <x:c r="F3" s="20"/>
    </x:row>
    <x:row r="5">
      <x:c r="B5" s="33" t="str">
        <x:v>Пункт матрицы</x:v>
      </x:c>
      <x:c r="C5" s="1" t="str">
        <x:v>Содержание пункта матрицы</x:v>
      </x:c>
      <x:c r="D5" s="1" t="str">
        <x:v>Обяз.</x:v>
      </x:c>
      <x:c r="E5" s="1" t="str">
        <x:v>Комментарий</x:v>
      </x:c>
    </x:row>
    <x:row r="6" ht="36" hidden="0" customHeight="1">
      <x:c r="B6" s="46" t="str">
        <x:v>2.6.3.1</x:v>
      </x:c>
      <x:c r="C6" s="15" t="str">
        <x:v>QR-код подключается при установке Электронного терминала</x:v>
      </x:c>
      <x:c r="D6" s="16" t="str">
        <x:v>да</x:v>
      </x:c>
      <x:c r="E6" s="15" t="str">
        <x:v>По пп. 4.1.3 и 5.2.9 договора QR-код предоставляет Банк; применяется ветка 2.6.3 (Банк — Вендор). Подключение QR при установке ЭТ договором не закреплено.</x:v>
      </x:c>
    </x:row>
    <x:row r="7" ht="24" hidden="0" customHeight="1">
      <x:c r="B7" s="46" t="str">
        <x:v>2.6.3.2</x:v>
      </x:c>
      <x:c r="C7" s="15" t="str">
        <x:v>Отключение QR-кода по инициативе Предприятия через установленные каналы</x:v>
      </x:c>
      <x:c r="D7" s="16" t="str">
        <x:v>да</x:v>
      </x:c>
      <x:c r="E7" s="15" t="str">
        <x:v>Для выбранной ветки 2.6.3 договор не закрепляет отключение QR по инициативе Предприятия через каналы пп. 2.3.1–2.3.4/2.3.7.</x:v>
      </x:c>
    </x:row>
    <x:row r="8" ht="36" hidden="0" customHeight="1">
      <x:c r="B8" s="46" t="str">
        <x:v>4.2.16.2</x:v>
      </x:c>
      <x:c r="C8" s="15" t="str">
        <x:v>Гарантия согласий работников на обработку ПДн и передачу Обслуживающим компаниям</x:v>
      </x:c>
      <x:c r="D8" s="16" t="str">
        <x:v>да</x:v>
      </x:c>
      <x:c r="E8" s="15" t="str">
        <x:v>Договор 4.2.16 охватывает ПДн руководителя, но не согласия работников и передачу Обслуживающим компаниям; обязанность Банка соблюдать 152-ФЗ в п. 5.2.10 это специальное обязательство Предприятия не заменяет.</x:v>
      </x:c>
    </x:row>
    <x:row r="9" ht="28.049999237060547" customHeight="1">
      <x:c r="B9"/>
      <x:c r="C9"/>
      <x:c r="D9"/>
      <x:c r="E9"/>
    </x:row>
    <x:row r="10" ht="28.049999237060547" customHeight="1">
      <x:c r="B10"/>
      <x:c r="C10"/>
      <x:c r="D10"/>
      <x:c r="E10"/>
    </x:row>
    <x:row r="11" ht="28.049999237060547" customHeight="1">
      <x:c r="B11"/>
      <x:c r="C11"/>
      <x:c r="D11"/>
      <x:c r="E11"/>
    </x:row>
    <x:row r="12" ht="28.049999237060547" customHeight="1">
      <x:c r="B12"/>
      <x:c r="C12"/>
      <x:c r="D12"/>
      <x:c r="E12"/>
    </x:row>
    <x:row r="13" ht="40.04999923706055" customHeight="1">
      <x:c r="B13"/>
      <x:c r="C13"/>
      <x:c r="D13"/>
      <x:c r="E13"/>
    </x:row>
    <x:row r="14" ht="28.049999237060547" customHeight="1">
      <x:c r="B14"/>
      <x:c r="C14"/>
      <x:c r="D14"/>
      <x:c r="E14"/>
    </x:row>
    <x:row r="15" ht="28.049999237060547" customHeight="1">
      <x:c r="B15"/>
      <x:c r="C15"/>
      <x:c r="D15"/>
      <x:c r="E15"/>
    </x:row>
    <x:row r="16" ht="28.049999237060547" customHeight="1">
      <x:c r="B16"/>
      <x:c r="C16"/>
      <x:c r="D16"/>
      <x:c r="E16"/>
    </x:row>
    <x:row r="17" ht="28.049999237060547" customHeight="1">
      <x:c r="B17"/>
      <x:c r="C17"/>
      <x:c r="D17"/>
      <x:c r="E17"/>
    </x:row>
    <x:row r="18" ht="28.049999237060547" customHeight="1">
      <x:c r="B18"/>
      <x:c r="C18"/>
      <x:c r="D18"/>
      <x:c r="E18"/>
    </x:row>
    <x:row r="19" ht="28.049999237060547" customHeight="1">
      <x:c r="B19"/>
      <x:c r="C19"/>
      <x:c r="D19"/>
      <x:c r="E19"/>
    </x:row>
    <x:row r="20" ht="28.049999237060547" customHeight="1">
      <x:c r="B20"/>
      <x:c r="C20"/>
      <x:c r="D20"/>
      <x:c r="E20"/>
    </x:row>
    <x:row r="21" ht="28.049999237060547" customHeight="1">
      <x:c r="B21"/>
      <x:c r="C21"/>
      <x:c r="D21"/>
      <x:c r="E21"/>
    </x:row>
    <x:row r="22" ht="40.04999923706055" customHeight="1">
      <x:c r="B22"/>
      <x:c r="C22"/>
      <x:c r="D22"/>
      <x:c r="E22"/>
    </x:row>
    <x:row r="23" ht="28.049999237060547" customHeight="1">
      <x:c r="B23"/>
      <x:c r="C23"/>
      <x:c r="D23"/>
      <x:c r="E23"/>
    </x:row>
    <x:row r="24" ht="28.049999237060547" customHeight="1">
      <x:c r="B24"/>
      <x:c r="C24"/>
      <x:c r="D24"/>
      <x:c r="E24"/>
    </x:row>
    <x:row r="25" ht="40.04999923706055" customHeight="1">
      <x:c r="B25"/>
      <x:c r="C25"/>
      <x:c r="D25"/>
      <x:c r="E25"/>
    </x:row>
    <x:row r="26" ht="28.049999237060547" customHeight="1">
      <x:c r="B26"/>
      <x:c r="C26"/>
      <x:c r="D26"/>
      <x:c r="E26"/>
    </x:row>
    <x:row r="27" ht="28.049999237060547" customHeight="1">
      <x:c r="B27"/>
      <x:c r="C27"/>
      <x:c r="D27"/>
      <x:c r="E27"/>
    </x:row>
  </x:sheetData>
  <x:mergeCells>
    <x:mergeCell ref="B2:F2"/>
    <x:mergeCell ref="B3:F3"/>
  </x:mergeCells>
  <x:pageMargins left="0.7" right="0.7" top="0.75" bottom="0.75" header="0.3" footer="0.3"/>
</x:worksheet>
</file>